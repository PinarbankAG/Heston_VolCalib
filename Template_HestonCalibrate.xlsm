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ieu\Desktop\"/>
    </mc:Choice>
  </mc:AlternateContent>
  <bookViews>
    <workbookView xWindow="0" yWindow="0" windowWidth="23925" windowHeight="9660"/>
  </bookViews>
  <sheets>
    <sheet name="Vols" sheetId="1" r:id="rId1"/>
  </sheets>
  <functionGroups builtInGroupCount="18"/>
  <definedNames>
    <definedName name="Calib">Vols!$AH$1:$AH$2</definedName>
    <definedName name="CalibChoice">Vols!$AC$1:$AC$2</definedName>
  </definedNames>
  <calcPr calcId="152511"/>
</workbook>
</file>

<file path=xl/calcChain.xml><?xml version="1.0" encoding="utf-8"?>
<calcChain xmlns="http://schemas.openxmlformats.org/spreadsheetml/2006/main">
  <c r="AH2" i="1" l="1"/>
  <c r="AH1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3" i="1"/>
  <c r="D32" i="1" l="1"/>
  <c r="E32" i="1"/>
  <c r="I32" i="1"/>
  <c r="J32" i="1"/>
  <c r="N32" i="1"/>
  <c r="E21" i="1"/>
  <c r="F21" i="1"/>
  <c r="F32" i="1" s="1"/>
  <c r="G21" i="1"/>
  <c r="G32" i="1" s="1"/>
  <c r="H21" i="1"/>
  <c r="H32" i="1" s="1"/>
  <c r="I21" i="1"/>
  <c r="J21" i="1"/>
  <c r="K21" i="1"/>
  <c r="K32" i="1" s="1"/>
  <c r="L21" i="1"/>
  <c r="L32" i="1" s="1"/>
  <c r="M21" i="1"/>
  <c r="M32" i="1" s="1"/>
  <c r="N21" i="1"/>
  <c r="O21" i="1"/>
  <c r="O32" i="1" s="1"/>
  <c r="P21" i="1"/>
  <c r="Q21" i="1"/>
  <c r="R21" i="1"/>
  <c r="S21" i="1"/>
  <c r="T21" i="1"/>
  <c r="U21" i="1"/>
  <c r="V21" i="1"/>
  <c r="D21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3" i="1"/>
  <c r="G28" i="1" l="1"/>
  <c r="S32" i="1"/>
  <c r="E28" i="1"/>
  <c r="U28" i="1"/>
  <c r="M22" i="1"/>
  <c r="O34" i="1"/>
  <c r="F30" i="1"/>
  <c r="E26" i="1"/>
  <c r="O28" i="1"/>
  <c r="M28" i="1"/>
  <c r="S24" i="1"/>
  <c r="D22" i="1"/>
  <c r="S22" i="1"/>
  <c r="S28" i="1"/>
  <c r="U36" i="1"/>
  <c r="M36" i="1"/>
  <c r="D28" i="1"/>
  <c r="D33" i="1"/>
  <c r="D29" i="1"/>
  <c r="Q28" i="1"/>
  <c r="S36" i="1"/>
  <c r="U22" i="1"/>
  <c r="E22" i="1"/>
  <c r="Q36" i="1"/>
  <c r="U26" i="1"/>
  <c r="O26" i="1"/>
  <c r="G35" i="1"/>
  <c r="D35" i="1"/>
  <c r="G31" i="1"/>
  <c r="D31" i="1"/>
  <c r="M23" i="1"/>
  <c r="G23" i="1"/>
  <c r="E23" i="1"/>
  <c r="U23" i="1"/>
  <c r="T31" i="1"/>
  <c r="T36" i="1"/>
  <c r="T23" i="1"/>
  <c r="T25" i="1"/>
  <c r="T35" i="1"/>
  <c r="T28" i="1"/>
  <c r="T29" i="1"/>
  <c r="P35" i="1"/>
  <c r="P36" i="1"/>
  <c r="P26" i="1"/>
  <c r="P29" i="1"/>
  <c r="P25" i="1"/>
  <c r="P31" i="1"/>
  <c r="P32" i="1"/>
  <c r="P28" i="1"/>
  <c r="P23" i="1"/>
  <c r="L23" i="1"/>
  <c r="L31" i="1"/>
  <c r="L36" i="1"/>
  <c r="L30" i="1"/>
  <c r="L25" i="1"/>
  <c r="L35" i="1"/>
  <c r="L29" i="1"/>
  <c r="H28" i="1"/>
  <c r="H23" i="1"/>
  <c r="H29" i="1"/>
  <c r="H31" i="1"/>
  <c r="H33" i="1"/>
  <c r="H35" i="1"/>
  <c r="H25" i="1"/>
  <c r="H30" i="1"/>
  <c r="H36" i="1"/>
  <c r="L28" i="1"/>
  <c r="G25" i="1"/>
  <c r="K25" i="1"/>
  <c r="O25" i="1"/>
  <c r="S25" i="1"/>
  <c r="E25" i="1"/>
  <c r="I25" i="1"/>
  <c r="M25" i="1"/>
  <c r="Q25" i="1"/>
  <c r="U25" i="1"/>
  <c r="V23" i="1"/>
  <c r="V25" i="1"/>
  <c r="V29" i="1"/>
  <c r="V28" i="1"/>
  <c r="V33" i="1"/>
  <c r="V36" i="1"/>
  <c r="R25" i="1"/>
  <c r="R33" i="1"/>
  <c r="R28" i="1"/>
  <c r="R23" i="1"/>
  <c r="R29" i="1"/>
  <c r="R36" i="1"/>
  <c r="N25" i="1"/>
  <c r="N29" i="1"/>
  <c r="N28" i="1"/>
  <c r="N23" i="1"/>
  <c r="N33" i="1"/>
  <c r="N36" i="1"/>
  <c r="J25" i="1"/>
  <c r="J28" i="1"/>
  <c r="J30" i="1"/>
  <c r="J36" i="1"/>
  <c r="J29" i="1"/>
  <c r="J31" i="1"/>
  <c r="J33" i="1"/>
  <c r="J35" i="1"/>
  <c r="J23" i="1"/>
  <c r="F27" i="1"/>
  <c r="F23" i="1"/>
  <c r="F25" i="1"/>
  <c r="F29" i="1"/>
  <c r="F31" i="1"/>
  <c r="F33" i="1"/>
  <c r="F35" i="1"/>
  <c r="F36" i="1"/>
  <c r="F28" i="1"/>
  <c r="N34" i="1"/>
  <c r="L33" i="1"/>
  <c r="N31" i="1"/>
  <c r="P30" i="1"/>
  <c r="Q23" i="1"/>
  <c r="I23" i="1"/>
  <c r="V35" i="1"/>
  <c r="L34" i="1"/>
  <c r="V30" i="1"/>
  <c r="N30" i="1"/>
  <c r="E27" i="1"/>
  <c r="M27" i="1"/>
  <c r="U27" i="1"/>
  <c r="G27" i="1"/>
  <c r="O27" i="1"/>
  <c r="K27" i="1"/>
  <c r="S27" i="1"/>
  <c r="R35" i="1"/>
  <c r="T33" i="1"/>
  <c r="V31" i="1"/>
  <c r="T30" i="1"/>
  <c r="G33" i="1"/>
  <c r="N35" i="1"/>
  <c r="P34" i="1"/>
  <c r="P33" i="1"/>
  <c r="R31" i="1"/>
  <c r="R30" i="1"/>
  <c r="S34" i="1"/>
  <c r="U30" i="1"/>
  <c r="Q30" i="1"/>
  <c r="M30" i="1"/>
  <c r="K36" i="1"/>
  <c r="G36" i="1"/>
  <c r="G34" i="1"/>
  <c r="K30" i="1"/>
  <c r="G30" i="1"/>
  <c r="K28" i="1"/>
  <c r="Q27" i="1"/>
  <c r="I27" i="1"/>
  <c r="Q26" i="1"/>
  <c r="D25" i="1"/>
  <c r="G24" i="1"/>
  <c r="D23" i="1"/>
  <c r="O22" i="1"/>
  <c r="G22" i="1"/>
  <c r="G29" i="1"/>
  <c r="Q34" i="1"/>
  <c r="M34" i="1"/>
  <c r="S30" i="1"/>
  <c r="O30" i="1"/>
  <c r="I36" i="1"/>
  <c r="I34" i="1"/>
  <c r="I30" i="1"/>
  <c r="S26" i="1"/>
  <c r="K26" i="1"/>
  <c r="G26" i="1"/>
  <c r="K24" i="1"/>
  <c r="G37" i="1"/>
  <c r="J37" i="1"/>
  <c r="R37" i="1"/>
  <c r="D37" i="1"/>
  <c r="L37" i="1"/>
  <c r="T37" i="1"/>
  <c r="P37" i="1"/>
  <c r="F37" i="1"/>
  <c r="N37" i="1"/>
  <c r="V37" i="1"/>
  <c r="H37" i="1"/>
  <c r="U37" i="1"/>
  <c r="Q37" i="1"/>
  <c r="M37" i="1"/>
  <c r="S35" i="1"/>
  <c r="O35" i="1"/>
  <c r="U33" i="1"/>
  <c r="Q33" i="1"/>
  <c r="M33" i="1"/>
  <c r="S31" i="1"/>
  <c r="O31" i="1"/>
  <c r="U29" i="1"/>
  <c r="Q29" i="1"/>
  <c r="M29" i="1"/>
  <c r="I37" i="1"/>
  <c r="E37" i="1"/>
  <c r="I35" i="1"/>
  <c r="E35" i="1"/>
  <c r="I33" i="1"/>
  <c r="E33" i="1"/>
  <c r="I31" i="1"/>
  <c r="E31" i="1"/>
  <c r="I29" i="1"/>
  <c r="E29" i="1"/>
  <c r="I28" i="1"/>
  <c r="T27" i="1"/>
  <c r="P27" i="1"/>
  <c r="L27" i="1"/>
  <c r="H27" i="1"/>
  <c r="D27" i="1"/>
  <c r="S37" i="1"/>
  <c r="O37" i="1"/>
  <c r="U35" i="1"/>
  <c r="Q35" i="1"/>
  <c r="M35" i="1"/>
  <c r="S33" i="1"/>
  <c r="O33" i="1"/>
  <c r="U31" i="1"/>
  <c r="Q31" i="1"/>
  <c r="M31" i="1"/>
  <c r="S29" i="1"/>
  <c r="O29" i="1"/>
  <c r="K37" i="1"/>
  <c r="K35" i="1"/>
  <c r="K33" i="1"/>
  <c r="K31" i="1"/>
  <c r="K29" i="1"/>
  <c r="V27" i="1"/>
  <c r="R27" i="1"/>
  <c r="N27" i="1"/>
  <c r="J27" i="1"/>
  <c r="T24" i="1"/>
  <c r="P24" i="1"/>
  <c r="L24" i="1"/>
  <c r="H24" i="1"/>
  <c r="D24" i="1"/>
  <c r="S23" i="1"/>
  <c r="O23" i="1"/>
  <c r="K23" i="1"/>
  <c r="V22" i="1"/>
  <c r="R22" i="1"/>
  <c r="N22" i="1"/>
  <c r="J22" i="1"/>
  <c r="F22" i="1"/>
  <c r="V24" i="1"/>
  <c r="R24" i="1"/>
  <c r="N24" i="1"/>
  <c r="J24" i="1"/>
  <c r="T22" i="1"/>
  <c r="P22" i="1"/>
  <c r="L22" i="1"/>
  <c r="H22" i="1"/>
  <c r="O24" i="1" l="1"/>
  <c r="K34" i="1"/>
  <c r="T34" i="1"/>
  <c r="V34" i="1"/>
  <c r="F34" i="1"/>
  <c r="F24" i="1"/>
  <c r="R32" i="1"/>
  <c r="T26" i="1"/>
  <c r="E24" i="1"/>
  <c r="I24" i="1"/>
  <c r="M24" i="1"/>
  <c r="D26" i="1"/>
  <c r="E34" i="1"/>
  <c r="F26" i="1"/>
  <c r="J34" i="1"/>
  <c r="H34" i="1"/>
  <c r="H26" i="1"/>
  <c r="L26" i="1"/>
  <c r="T32" i="1"/>
  <c r="U24" i="1"/>
  <c r="Q24" i="1"/>
  <c r="D34" i="1"/>
  <c r="R34" i="1"/>
  <c r="O36" i="1"/>
  <c r="D36" i="1"/>
  <c r="U34" i="1"/>
  <c r="I26" i="1"/>
  <c r="J26" i="1"/>
  <c r="N26" i="1"/>
  <c r="R26" i="1"/>
  <c r="V26" i="1"/>
  <c r="V32" i="1"/>
  <c r="M26" i="1"/>
  <c r="D30" i="1"/>
  <c r="Q32" i="1"/>
  <c r="K22" i="1"/>
  <c r="Q22" i="1"/>
  <c r="E30" i="1"/>
  <c r="I22" i="1"/>
  <c r="U32" i="1"/>
  <c r="E36" i="1"/>
  <c r="C31" i="1"/>
  <c r="C23" i="1"/>
  <c r="C34" i="1"/>
  <c r="C26" i="1"/>
  <c r="C29" i="1"/>
  <c r="C35" i="1"/>
  <c r="C27" i="1"/>
  <c r="C22" i="1"/>
  <c r="C30" i="1"/>
  <c r="C33" i="1"/>
  <c r="C36" i="1"/>
  <c r="C28" i="1"/>
  <c r="C24" i="1"/>
  <c r="C37" i="1"/>
  <c r="C25" i="1"/>
  <c r="C32" i="1"/>
</calcChain>
</file>

<file path=xl/sharedStrings.xml><?xml version="1.0" encoding="utf-8"?>
<sst xmlns="http://schemas.openxmlformats.org/spreadsheetml/2006/main" count="84" uniqueCount="53">
  <si>
    <t>Exp</t>
  </si>
  <si>
    <t>1W</t>
  </si>
  <si>
    <t>2W</t>
  </si>
  <si>
    <t>3W</t>
  </si>
  <si>
    <t>1M</t>
  </si>
  <si>
    <t>2M</t>
  </si>
  <si>
    <t>3M</t>
  </si>
  <si>
    <t>6M</t>
  </si>
  <si>
    <t>1Y</t>
  </si>
  <si>
    <t>18M</t>
  </si>
  <si>
    <t>2Y</t>
  </si>
  <si>
    <t>3Y</t>
  </si>
  <si>
    <t>4Y</t>
  </si>
  <si>
    <t>5Y</t>
  </si>
  <si>
    <t>7Y</t>
  </si>
  <si>
    <t>10Y</t>
  </si>
  <si>
    <t>12Y</t>
  </si>
  <si>
    <t>Calibrate</t>
  </si>
  <si>
    <t xml:space="preserve">Fill out the volatility Matrix with Market Data
Unselect Short Maturities ( &gt; 3M recommended)
Calibrate up to the Expiry of the derivative  </t>
  </si>
  <si>
    <t>CAC Index</t>
  </si>
  <si>
    <t>90) Asset</t>
  </si>
  <si>
    <t>91) Actions</t>
  </si>
  <si>
    <t>92) Views</t>
  </si>
  <si>
    <t>93) Settings</t>
  </si>
  <si>
    <t>Volatility Surface</t>
  </si>
  <si>
    <t>CAC 40 INDEX</t>
  </si>
  <si>
    <t>EUR</t>
  </si>
  <si>
    <t>Bloomberg</t>
  </si>
  <si>
    <t>Mid</t>
  </si>
  <si>
    <t>As of</t>
  </si>
  <si>
    <t>&lt;</t>
  </si>
  <si>
    <t>&gt;</t>
  </si>
  <si>
    <t>Tenors</t>
  </si>
  <si>
    <t>Yields</t>
  </si>
  <si>
    <t>Expiry</t>
  </si>
  <si>
    <t>Exp Date</t>
  </si>
  <si>
    <t>Impl Fwd</t>
  </si>
  <si>
    <t>Risk Free</t>
  </si>
  <si>
    <t>Impl Dvd</t>
  </si>
  <si>
    <t>Impl (Yld)</t>
  </si>
  <si>
    <t>BDVD Divs</t>
  </si>
  <si>
    <t>B</t>
  </si>
  <si>
    <t>Dividend Swaps</t>
  </si>
  <si>
    <t>%</t>
  </si>
  <si>
    <t>Bloomberg Impl Dvd</t>
  </si>
  <si>
    <t>Year</t>
  </si>
  <si>
    <t>Dividend Swap</t>
  </si>
  <si>
    <t>Heston Calibration</t>
  </si>
  <si>
    <t>Kappa</t>
  </si>
  <si>
    <t>V0</t>
  </si>
  <si>
    <t>Theta</t>
  </si>
  <si>
    <t>Rho</t>
  </si>
  <si>
    <t>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</si>
</sst>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23"/>
      <name val="Calibri"/>
      <family val="2"/>
    </font>
    <font>
      <b/>
      <sz val="10"/>
      <color indexed="9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9" fontId="4" fillId="0" borderId="0" applyFont="0" applyFill="0" applyBorder="0" applyAlignment="0" applyProtection="0"/>
  </cellStyleXfs>
  <cellXfs count="50">
    <xf numFmtId="0" fontId="0" fillId="0" borderId="0" xfId="0"/>
    <xf numFmtId="2" fontId="2" fillId="3" borderId="0" xfId="1" quotePrefix="1" applyNumberFormat="1" applyFont="1" applyFill="1" applyBorder="1" applyAlignment="1">
      <alignment horizontal="right" vertical="center"/>
    </xf>
    <xf numFmtId="14" fontId="3" fillId="4" borderId="0" xfId="2" applyNumberFormat="1" applyFont="1" applyFill="1" applyBorder="1" applyAlignment="1">
      <alignment horizontal="left" vertical="center"/>
    </xf>
    <xf numFmtId="0" fontId="3" fillId="4" borderId="0" xfId="1" applyFont="1" applyFill="1" applyBorder="1" applyAlignment="1">
      <alignment horizontal="center" vertical="center"/>
    </xf>
    <xf numFmtId="2" fontId="1" fillId="2" borderId="1" xfId="1" applyNumberFormat="1" applyFill="1" applyBorder="1" applyAlignment="1">
      <alignment horizontal="center"/>
    </xf>
    <xf numFmtId="2" fontId="2" fillId="3" borderId="0" xfId="2" quotePrefix="1" applyNumberFormat="1" applyFont="1" applyFill="1" applyBorder="1" applyAlignment="1">
      <alignment horizontal="right" vertical="center"/>
    </xf>
    <xf numFmtId="0" fontId="1" fillId="2" borderId="1" xfId="2" applyFill="1" applyBorder="1" applyAlignment="1">
      <alignment horizontal="center"/>
    </xf>
    <xf numFmtId="0" fontId="3" fillId="4" borderId="3" xfId="1" applyFont="1" applyFill="1" applyBorder="1" applyAlignment="1">
      <alignment horizontal="center" vertical="center"/>
    </xf>
    <xf numFmtId="2" fontId="2" fillId="3" borderId="5" xfId="1" quotePrefix="1" applyNumberFormat="1" applyFont="1" applyFill="1" applyBorder="1" applyAlignment="1">
      <alignment horizontal="right" vertical="center"/>
    </xf>
    <xf numFmtId="0" fontId="3" fillId="4" borderId="4" xfId="1" applyFont="1" applyFill="1" applyBorder="1" applyAlignment="1">
      <alignment horizontal="center" vertical="center"/>
    </xf>
    <xf numFmtId="14" fontId="3" fillId="4" borderId="2" xfId="2" applyNumberFormat="1" applyFont="1" applyFill="1" applyBorder="1" applyAlignment="1">
      <alignment horizontal="left" vertical="center"/>
    </xf>
    <xf numFmtId="2" fontId="2" fillId="3" borderId="5" xfId="2" quotePrefix="1" applyNumberFormat="1" applyFont="1" applyFill="1" applyBorder="1" applyAlignment="1">
      <alignment horizontal="right" vertical="center"/>
    </xf>
    <xf numFmtId="2" fontId="2" fillId="3" borderId="6" xfId="2" quotePrefix="1" applyNumberFormat="1" applyFont="1" applyFill="1" applyBorder="1" applyAlignment="1">
      <alignment horizontal="right" vertical="center"/>
    </xf>
    <xf numFmtId="2" fontId="2" fillId="3" borderId="7" xfId="2" quotePrefix="1" applyNumberFormat="1" applyFont="1" applyFill="1" applyBorder="1" applyAlignment="1">
      <alignment horizontal="right" vertical="center"/>
    </xf>
    <xf numFmtId="2" fontId="2" fillId="3" borderId="9" xfId="2" quotePrefix="1" applyNumberFormat="1" applyFont="1" applyFill="1" applyBorder="1" applyAlignment="1">
      <alignment horizontal="right" vertical="center"/>
    </xf>
    <xf numFmtId="2" fontId="2" fillId="3" borderId="8" xfId="2" quotePrefix="1" applyNumberFormat="1" applyFont="1" applyFill="1" applyBorder="1" applyAlignment="1">
      <alignment horizontal="right" vertical="center"/>
    </xf>
    <xf numFmtId="2" fontId="2" fillId="5" borderId="0" xfId="2" quotePrefix="1" applyNumberFormat="1" applyFont="1" applyFill="1" applyBorder="1" applyAlignment="1">
      <alignment horizontal="right" vertical="center"/>
    </xf>
    <xf numFmtId="10" fontId="2" fillId="5" borderId="0" xfId="3" quotePrefix="1" applyNumberFormat="1" applyFont="1" applyFill="1" applyBorder="1" applyAlignment="1">
      <alignment horizontal="right" vertical="center"/>
    </xf>
    <xf numFmtId="10" fontId="2" fillId="5" borderId="9" xfId="3" quotePrefix="1" applyNumberFormat="1" applyFont="1" applyFill="1" applyBorder="1" applyAlignment="1">
      <alignment horizontal="right" vertical="center"/>
    </xf>
    <xf numFmtId="14" fontId="2" fillId="5" borderId="0" xfId="2" quotePrefix="1" applyNumberFormat="1" applyFont="1" applyFill="1" applyBorder="1" applyAlignment="1">
      <alignment horizontal="right" vertical="center"/>
    </xf>
    <xf numFmtId="0" fontId="1" fillId="2" borderId="10" xfId="2" applyFill="1" applyBorder="1" applyAlignment="1">
      <alignment horizontal="center"/>
    </xf>
    <xf numFmtId="0" fontId="1" fillId="2" borderId="11" xfId="2" applyFill="1" applyBorder="1" applyAlignment="1">
      <alignment horizontal="center"/>
    </xf>
    <xf numFmtId="0" fontId="1" fillId="2" borderId="12" xfId="2" applyFill="1" applyBorder="1" applyAlignment="1">
      <alignment horizontal="center"/>
    </xf>
    <xf numFmtId="164" fontId="2" fillId="3" borderId="5" xfId="1" quotePrefix="1" applyNumberFormat="1" applyFont="1" applyFill="1" applyBorder="1" applyAlignment="1">
      <alignment horizontal="right" vertical="center"/>
    </xf>
    <xf numFmtId="14" fontId="2" fillId="3" borderId="0" xfId="2" quotePrefix="1" applyNumberFormat="1" applyFont="1" applyFill="1" applyBorder="1" applyAlignment="1">
      <alignment horizontal="right" vertical="center"/>
    </xf>
    <xf numFmtId="14" fontId="2" fillId="3" borderId="9" xfId="2" quotePrefix="1" applyNumberFormat="1" applyFont="1" applyFill="1" applyBorder="1" applyAlignment="1">
      <alignment horizontal="right" vertical="center"/>
    </xf>
    <xf numFmtId="14" fontId="6" fillId="6" borderId="0" xfId="2" quotePrefix="1" applyNumberFormat="1" applyFont="1" applyFill="1" applyBorder="1" applyAlignment="1">
      <alignment horizontal="right" vertical="center"/>
    </xf>
    <xf numFmtId="2" fontId="0" fillId="5" borderId="0" xfId="0" applyNumberFormat="1" applyFill="1"/>
    <xf numFmtId="2" fontId="2" fillId="5" borderId="9" xfId="2" quotePrefix="1" applyNumberFormat="1" applyFont="1" applyFill="1" applyBorder="1" applyAlignment="1">
      <alignment horizontal="right" vertical="center"/>
    </xf>
    <xf numFmtId="10" fontId="2" fillId="7" borderId="0" xfId="3" quotePrefix="1" applyNumberFormat="1" applyFont="1" applyFill="1" applyBorder="1" applyAlignment="1">
      <alignment horizontal="right" vertical="center"/>
    </xf>
    <xf numFmtId="10" fontId="2" fillId="7" borderId="9" xfId="3" quotePrefix="1" applyNumberFormat="1" applyFont="1" applyFill="1" applyBorder="1" applyAlignment="1">
      <alignment horizontal="right" vertical="center"/>
    </xf>
    <xf numFmtId="0" fontId="3" fillId="4" borderId="2" xfId="1" applyFont="1" applyFill="1" applyBorder="1" applyAlignment="1">
      <alignment horizontal="center" vertical="center"/>
    </xf>
    <xf numFmtId="164" fontId="2" fillId="3" borderId="6" xfId="2" quotePrefix="1" applyNumberFormat="1" applyFont="1" applyFill="1" applyBorder="1" applyAlignment="1">
      <alignment horizontal="right" vertical="center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9" xfId="0" applyBorder="1"/>
    <xf numFmtId="164" fontId="2" fillId="3" borderId="8" xfId="2" quotePrefix="1" applyNumberFormat="1" applyFont="1" applyFill="1" applyBorder="1" applyAlignment="1">
      <alignment horizontal="right" vertical="center"/>
    </xf>
    <xf numFmtId="0" fontId="0" fillId="2" borderId="1" xfId="2" applyFont="1" applyFill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</cellXfs>
  <cellStyles count="4">
    <cellStyle name="Normal" xfId="0" builtinId="0"/>
    <cellStyle name="Normal 2" xfId="1"/>
    <cellStyle name="Normal 4" xfId="2"/>
    <cellStyle name="Pourcentage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419100</xdr:colOff>
          <xdr:row>39</xdr:row>
          <xdr:rowOff>66675</xdr:rowOff>
        </xdr:from>
        <xdr:to>
          <xdr:col>21</xdr:col>
          <xdr:colOff>523875</xdr:colOff>
          <xdr:row>41</xdr:row>
          <xdr:rowOff>104775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H49"/>
  <sheetViews>
    <sheetView tabSelected="1" topLeftCell="C1" zoomScale="60" zoomScaleNormal="60" workbookViewId="0">
      <selection activeCell="X22" sqref="X22"/>
    </sheetView>
  </sheetViews>
  <sheetFormatPr baseColWidth="10" defaultColWidth="9.140625" defaultRowHeight="15" x14ac:dyDescent="0.25"/>
  <cols>
    <col min="1" max="2" width="9.85546875" hidden="1" customWidth="1"/>
    <col min="3" max="3" width="22.5703125" bestFit="1" customWidth="1"/>
    <col min="4" max="4" width="18" bestFit="1" customWidth="1"/>
    <col min="5" max="5" width="9.140625" bestFit="1" customWidth="1"/>
    <col min="6" max="6" width="14.42578125" bestFit="1" customWidth="1"/>
    <col min="7" max="7" width="9" bestFit="1" customWidth="1"/>
    <col min="8" max="8" width="9.140625" bestFit="1" customWidth="1"/>
    <col min="9" max="10" width="9.42578125" bestFit="1" customWidth="1"/>
    <col min="11" max="16" width="9.85546875" bestFit="1" customWidth="1"/>
    <col min="17" max="17" width="9.7109375" bestFit="1" customWidth="1"/>
    <col min="18" max="21" width="9.85546875" bestFit="1" customWidth="1"/>
    <col min="22" max="22" width="9.7109375" bestFit="1" customWidth="1"/>
    <col min="23" max="23" width="12" bestFit="1" customWidth="1"/>
    <col min="24" max="24" width="16.85546875" bestFit="1" customWidth="1"/>
    <col min="25" max="25" width="13.42578125" bestFit="1" customWidth="1"/>
    <col min="26" max="26" width="12.5703125" bestFit="1" customWidth="1"/>
    <col min="27" max="27" width="12.7109375" bestFit="1" customWidth="1"/>
    <col min="28" max="28" width="13.28515625" bestFit="1" customWidth="1"/>
    <col min="29" max="29" width="18.28515625" bestFit="1" customWidth="1"/>
    <col min="30" max="30" width="13" bestFit="1" customWidth="1"/>
    <col min="31" max="31" width="12.28515625" bestFit="1" customWidth="1"/>
    <col min="32" max="32" width="22.28515625" bestFit="1" customWidth="1"/>
    <col min="33" max="33" width="16.140625" bestFit="1" customWidth="1"/>
    <col min="34" max="34" width="14.7109375" hidden="1" customWidth="1"/>
  </cols>
  <sheetData>
    <row r="1" spans="1:34" x14ac:dyDescent="0.25">
      <c r="C1" s="10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9"/>
      <c r="W1" s="10" t="s">
        <v>17</v>
      </c>
      <c r="X1" s="10" t="s">
        <v>19</v>
      </c>
      <c r="Y1" s="7" t="s">
        <v>20</v>
      </c>
      <c r="Z1" s="7" t="s">
        <v>21</v>
      </c>
      <c r="AA1" s="7" t="s">
        <v>22</v>
      </c>
      <c r="AB1" s="7" t="s">
        <v>23</v>
      </c>
      <c r="AC1" s="7" t="s">
        <v>24</v>
      </c>
      <c r="AD1" s="7"/>
      <c r="AE1" s="7"/>
      <c r="AF1" s="7"/>
      <c r="AG1" s="9"/>
      <c r="AH1" t="b">
        <f>TRUE</f>
        <v>1</v>
      </c>
    </row>
    <row r="2" spans="1:34" x14ac:dyDescent="0.25">
      <c r="C2" s="11" t="s">
        <v>0</v>
      </c>
      <c r="D2" s="5">
        <v>50</v>
      </c>
      <c r="E2" s="5">
        <v>60</v>
      </c>
      <c r="F2" s="5">
        <v>70</v>
      </c>
      <c r="G2" s="5">
        <v>75</v>
      </c>
      <c r="H2" s="5">
        <v>80</v>
      </c>
      <c r="I2" s="5">
        <v>85</v>
      </c>
      <c r="J2" s="5">
        <v>90</v>
      </c>
      <c r="K2" s="5">
        <v>95</v>
      </c>
      <c r="L2" s="5">
        <v>97.5</v>
      </c>
      <c r="M2" s="5">
        <v>100</v>
      </c>
      <c r="N2" s="5">
        <v>102.49999999999999</v>
      </c>
      <c r="O2" s="5">
        <v>105</v>
      </c>
      <c r="P2" s="5">
        <v>110.00000000000001</v>
      </c>
      <c r="Q2" s="5">
        <v>114.99999999999999</v>
      </c>
      <c r="R2" s="5">
        <v>120</v>
      </c>
      <c r="S2" s="5">
        <v>125</v>
      </c>
      <c r="T2" s="5">
        <v>130</v>
      </c>
      <c r="U2" s="5">
        <v>140</v>
      </c>
      <c r="V2" s="12">
        <v>150</v>
      </c>
      <c r="W2" s="8"/>
      <c r="X2" s="11" t="s">
        <v>25</v>
      </c>
      <c r="Y2" s="16">
        <v>4987.3100000000004</v>
      </c>
      <c r="Z2" s="5" t="s">
        <v>26</v>
      </c>
      <c r="AA2" s="5" t="s">
        <v>27</v>
      </c>
      <c r="AB2" s="5" t="s">
        <v>28</v>
      </c>
      <c r="AC2" s="5" t="s">
        <v>29</v>
      </c>
      <c r="AD2" s="5" t="s">
        <v>30</v>
      </c>
      <c r="AE2" s="19">
        <v>42817</v>
      </c>
      <c r="AF2" s="5" t="s">
        <v>31</v>
      </c>
      <c r="AG2" s="12">
        <v>0.46875</v>
      </c>
      <c r="AH2" t="b">
        <f>FALSE</f>
        <v>0</v>
      </c>
    </row>
    <row r="3" spans="1:34" x14ac:dyDescent="0.25">
      <c r="A3" s="23">
        <f>(Y5-$AE$2)/365</f>
        <v>1.9178082191780823E-2</v>
      </c>
      <c r="B3" s="27">
        <f>Z5</f>
        <v>4985.78</v>
      </c>
      <c r="C3" s="11" t="s">
        <v>1</v>
      </c>
      <c r="D3" s="6">
        <v>69.319999999999993</v>
      </c>
      <c r="E3" s="6">
        <v>58.04</v>
      </c>
      <c r="F3" s="6">
        <v>46.4</v>
      </c>
      <c r="G3" s="6">
        <v>40.119999999999997</v>
      </c>
      <c r="H3" s="6">
        <v>33.17</v>
      </c>
      <c r="I3" s="6">
        <v>25.3</v>
      </c>
      <c r="J3" s="6">
        <v>21.73</v>
      </c>
      <c r="K3" s="6">
        <v>17.440000000000001</v>
      </c>
      <c r="L3" s="6">
        <v>13.77</v>
      </c>
      <c r="M3" s="6">
        <v>11.14</v>
      </c>
      <c r="N3" s="6">
        <v>10.31</v>
      </c>
      <c r="O3" s="6">
        <v>13</v>
      </c>
      <c r="P3" s="6">
        <v>17.079999999999998</v>
      </c>
      <c r="Q3" s="6">
        <v>19.02</v>
      </c>
      <c r="R3" s="6">
        <v>20.079999999999998</v>
      </c>
      <c r="S3" s="6">
        <v>20.73</v>
      </c>
      <c r="T3" s="6">
        <v>21.09</v>
      </c>
      <c r="U3" s="6">
        <v>21.62</v>
      </c>
      <c r="V3" s="20">
        <v>22.11</v>
      </c>
      <c r="W3" s="8" t="b">
        <v>0</v>
      </c>
      <c r="X3" s="11" t="s">
        <v>32</v>
      </c>
      <c r="Y3" s="5" t="s">
        <v>33</v>
      </c>
      <c r="Z3" s="5"/>
      <c r="AA3" s="5"/>
      <c r="AB3" s="5"/>
      <c r="AC3" s="5"/>
      <c r="AD3" s="5"/>
      <c r="AE3" s="5"/>
      <c r="AF3" s="5"/>
      <c r="AG3" s="12"/>
    </row>
    <row r="4" spans="1:34" x14ac:dyDescent="0.25">
      <c r="A4" s="23">
        <f t="shared" ref="A4:A18" si="0">(Y6-$AE$2)/365</f>
        <v>3.8356164383561646E-2</v>
      </c>
      <c r="B4" s="27">
        <f t="shared" ref="B4:B18" si="1">Z6</f>
        <v>4984.34</v>
      </c>
      <c r="C4" s="11" t="s">
        <v>2</v>
      </c>
      <c r="D4" s="6">
        <v>56.2</v>
      </c>
      <c r="E4" s="6">
        <v>46.53</v>
      </c>
      <c r="F4" s="6">
        <v>36.4</v>
      </c>
      <c r="G4" s="6">
        <v>30.8</v>
      </c>
      <c r="H4" s="6">
        <v>24.96</v>
      </c>
      <c r="I4" s="6">
        <v>22.51</v>
      </c>
      <c r="J4" s="6">
        <v>19.97</v>
      </c>
      <c r="K4" s="6">
        <v>15.41</v>
      </c>
      <c r="L4" s="6">
        <v>12.76</v>
      </c>
      <c r="M4" s="6">
        <v>10.86</v>
      </c>
      <c r="N4" s="6">
        <v>11.09</v>
      </c>
      <c r="O4" s="6">
        <v>12.61</v>
      </c>
      <c r="P4" s="6">
        <v>15.69</v>
      </c>
      <c r="Q4" s="6">
        <v>18.05</v>
      </c>
      <c r="R4" s="6">
        <v>19.52</v>
      </c>
      <c r="S4" s="6">
        <v>20.48</v>
      </c>
      <c r="T4" s="6">
        <v>21.16</v>
      </c>
      <c r="U4" s="6">
        <v>21.97</v>
      </c>
      <c r="V4" s="20">
        <v>22.48</v>
      </c>
      <c r="W4" s="8" t="b">
        <v>0</v>
      </c>
      <c r="X4" s="11" t="s">
        <v>34</v>
      </c>
      <c r="Y4" s="5" t="s">
        <v>35</v>
      </c>
      <c r="Z4" s="5" t="s">
        <v>36</v>
      </c>
      <c r="AA4" s="5" t="s">
        <v>37</v>
      </c>
      <c r="AB4" s="5" t="s">
        <v>38</v>
      </c>
      <c r="AC4" s="5" t="s">
        <v>39</v>
      </c>
      <c r="AD4" s="5" t="s">
        <v>40</v>
      </c>
      <c r="AE4" s="5" t="s">
        <v>41</v>
      </c>
      <c r="AF4" s="5" t="s">
        <v>42</v>
      </c>
      <c r="AG4" s="12"/>
    </row>
    <row r="5" spans="1:34" x14ac:dyDescent="0.25">
      <c r="A5" s="23">
        <f t="shared" si="0"/>
        <v>5.7534246575342465E-2</v>
      </c>
      <c r="B5" s="27">
        <f t="shared" si="1"/>
        <v>4982.9399999999996</v>
      </c>
      <c r="C5" s="11" t="s">
        <v>3</v>
      </c>
      <c r="D5" s="6">
        <v>49.49</v>
      </c>
      <c r="E5" s="6">
        <v>40.51</v>
      </c>
      <c r="F5" s="6">
        <v>30.94</v>
      </c>
      <c r="G5" s="6">
        <v>25.73</v>
      </c>
      <c r="H5" s="6">
        <v>22.48</v>
      </c>
      <c r="I5" s="6">
        <v>20.34</v>
      </c>
      <c r="J5" s="6">
        <v>17.28</v>
      </c>
      <c r="K5" s="6">
        <v>13.54</v>
      </c>
      <c r="L5" s="6">
        <v>11.75</v>
      </c>
      <c r="M5" s="6">
        <v>10.8</v>
      </c>
      <c r="N5" s="6">
        <v>11.27</v>
      </c>
      <c r="O5" s="6">
        <v>12.54</v>
      </c>
      <c r="P5" s="6">
        <v>15.14</v>
      </c>
      <c r="Q5" s="6">
        <v>17.29</v>
      </c>
      <c r="R5" s="6">
        <v>19.03</v>
      </c>
      <c r="S5" s="6">
        <v>20.28</v>
      </c>
      <c r="T5" s="6">
        <v>21.17</v>
      </c>
      <c r="U5" s="6">
        <v>22.32</v>
      </c>
      <c r="V5" s="20">
        <v>23.02</v>
      </c>
      <c r="W5" s="8" t="b">
        <v>0</v>
      </c>
      <c r="X5" s="11" t="s">
        <v>1</v>
      </c>
      <c r="Y5" s="24">
        <v>42824</v>
      </c>
      <c r="Z5" s="16">
        <v>4985.78</v>
      </c>
      <c r="AA5" s="17">
        <v>-2.4199999999999998E-3</v>
      </c>
      <c r="AB5" s="5">
        <v>1.3</v>
      </c>
      <c r="AC5" s="29">
        <v>1.3599999999999999E-2</v>
      </c>
      <c r="AD5" s="5">
        <v>2.2959999999999998</v>
      </c>
      <c r="AE5" s="5" t="s">
        <v>43</v>
      </c>
      <c r="AF5" s="5" t="s">
        <v>44</v>
      </c>
      <c r="AG5" s="12"/>
    </row>
    <row r="6" spans="1:34" x14ac:dyDescent="0.25">
      <c r="A6" s="23">
        <f t="shared" si="0"/>
        <v>8.4931506849315067E-2</v>
      </c>
      <c r="B6" s="27">
        <f t="shared" si="1"/>
        <v>4975.0600000000004</v>
      </c>
      <c r="C6" s="11" t="s">
        <v>4</v>
      </c>
      <c r="D6" s="6">
        <v>40.619999999999997</v>
      </c>
      <c r="E6" s="6">
        <v>37.840000000000003</v>
      </c>
      <c r="F6" s="6">
        <v>35.08</v>
      </c>
      <c r="G6" s="6">
        <v>32.36</v>
      </c>
      <c r="H6" s="6">
        <v>28.2</v>
      </c>
      <c r="I6" s="6">
        <v>22.99</v>
      </c>
      <c r="J6" s="6">
        <v>18.16</v>
      </c>
      <c r="K6" s="6">
        <v>13.99</v>
      </c>
      <c r="L6" s="6">
        <v>12.31</v>
      </c>
      <c r="M6" s="6">
        <v>11.09</v>
      </c>
      <c r="N6" s="6">
        <v>10.32</v>
      </c>
      <c r="O6" s="6">
        <v>10.29</v>
      </c>
      <c r="P6" s="6">
        <v>11.44</v>
      </c>
      <c r="Q6" s="6">
        <v>12.93</v>
      </c>
      <c r="R6" s="6">
        <v>13.94</v>
      </c>
      <c r="S6" s="6">
        <v>14.61</v>
      </c>
      <c r="T6" s="6">
        <v>15.1</v>
      </c>
      <c r="U6" s="6">
        <v>15.7</v>
      </c>
      <c r="V6" s="20">
        <v>16.09</v>
      </c>
      <c r="W6" s="8" t="b">
        <v>0</v>
      </c>
      <c r="X6" s="11" t="s">
        <v>2</v>
      </c>
      <c r="Y6" s="26">
        <v>42831</v>
      </c>
      <c r="Z6" s="16">
        <v>4984.34</v>
      </c>
      <c r="AA6" s="17">
        <v>-2.4199999999999998E-3</v>
      </c>
      <c r="AB6" s="5">
        <v>2.5099999999999998</v>
      </c>
      <c r="AC6" s="29">
        <v>1.3129999999999999E-2</v>
      </c>
      <c r="AD6" s="5">
        <v>2.2959999999999998</v>
      </c>
      <c r="AE6" s="5" t="s">
        <v>43</v>
      </c>
      <c r="AF6" s="5" t="s">
        <v>45</v>
      </c>
      <c r="AG6" s="12" t="s">
        <v>46</v>
      </c>
    </row>
    <row r="7" spans="1:34" x14ac:dyDescent="0.25">
      <c r="A7" s="23">
        <f t="shared" si="0"/>
        <v>0.16712328767123288</v>
      </c>
      <c r="B7" s="27">
        <f t="shared" si="1"/>
        <v>4904.3100000000004</v>
      </c>
      <c r="C7" s="11" t="s">
        <v>5</v>
      </c>
      <c r="D7" s="6">
        <v>38.36</v>
      </c>
      <c r="E7" s="6">
        <v>35.5</v>
      </c>
      <c r="F7" s="6">
        <v>30.26</v>
      </c>
      <c r="G7" s="6">
        <v>26.6</v>
      </c>
      <c r="H7" s="6">
        <v>22.74</v>
      </c>
      <c r="I7" s="6">
        <v>20.38</v>
      </c>
      <c r="J7" s="6">
        <v>18.68</v>
      </c>
      <c r="K7" s="6">
        <v>16.38</v>
      </c>
      <c r="L7" s="6">
        <v>15.29</v>
      </c>
      <c r="M7" s="6">
        <v>14.16</v>
      </c>
      <c r="N7" s="6">
        <v>12.74</v>
      </c>
      <c r="O7" s="6">
        <v>11.52</v>
      </c>
      <c r="P7" s="6">
        <v>11.28</v>
      </c>
      <c r="Q7" s="6">
        <v>11.38</v>
      </c>
      <c r="R7" s="6">
        <v>11.44</v>
      </c>
      <c r="S7" s="6">
        <v>11.74</v>
      </c>
      <c r="T7" s="6">
        <v>12.7</v>
      </c>
      <c r="U7" s="6">
        <v>14.66</v>
      </c>
      <c r="V7" s="20">
        <v>16.21</v>
      </c>
      <c r="W7" s="8" t="b">
        <v>0</v>
      </c>
      <c r="X7" s="11" t="s">
        <v>3</v>
      </c>
      <c r="Y7" s="26">
        <v>42838</v>
      </c>
      <c r="Z7" s="16">
        <v>4982.9399999999996</v>
      </c>
      <c r="AA7" s="17">
        <v>-2.4199999999999998E-3</v>
      </c>
      <c r="AB7" s="5">
        <v>3.6779999999999999</v>
      </c>
      <c r="AC7" s="29">
        <v>1.2829999999999999E-2</v>
      </c>
      <c r="AD7" s="5">
        <v>2.2959999999999998</v>
      </c>
      <c r="AE7" s="5" t="s">
        <v>43</v>
      </c>
      <c r="AF7" s="5">
        <v>2017</v>
      </c>
      <c r="AG7" s="12">
        <v>145.44</v>
      </c>
    </row>
    <row r="8" spans="1:34" x14ac:dyDescent="0.25">
      <c r="A8" s="23">
        <f t="shared" si="0"/>
        <v>0.25205479452054796</v>
      </c>
      <c r="B8" s="27">
        <f t="shared" si="1"/>
        <v>4860.1000000000004</v>
      </c>
      <c r="C8" s="11" t="s">
        <v>6</v>
      </c>
      <c r="D8" s="6">
        <v>40.19</v>
      </c>
      <c r="E8" s="6">
        <v>36.76</v>
      </c>
      <c r="F8" s="6">
        <v>30.29</v>
      </c>
      <c r="G8" s="6">
        <v>26.35</v>
      </c>
      <c r="H8" s="6">
        <v>22.91</v>
      </c>
      <c r="I8" s="6">
        <v>20.64</v>
      </c>
      <c r="J8" s="6">
        <v>18.54</v>
      </c>
      <c r="K8" s="6">
        <v>16.37</v>
      </c>
      <c r="L8" s="6">
        <v>15.34</v>
      </c>
      <c r="M8" s="6">
        <v>14.28</v>
      </c>
      <c r="N8" s="6">
        <v>13.2</v>
      </c>
      <c r="O8" s="6">
        <v>12.29</v>
      </c>
      <c r="P8" s="6">
        <v>11.6</v>
      </c>
      <c r="Q8" s="6">
        <v>11.66</v>
      </c>
      <c r="R8" s="6">
        <v>11.73</v>
      </c>
      <c r="S8" s="6">
        <v>11.76</v>
      </c>
      <c r="T8" s="6">
        <v>11.77</v>
      </c>
      <c r="U8" s="6">
        <v>11.79</v>
      </c>
      <c r="V8" s="20">
        <v>12.09</v>
      </c>
      <c r="W8" s="8" t="b">
        <v>1</v>
      </c>
      <c r="X8" s="11" t="s">
        <v>4</v>
      </c>
      <c r="Y8" s="26">
        <v>42848</v>
      </c>
      <c r="Z8" s="16">
        <v>4975.0600000000004</v>
      </c>
      <c r="AA8" s="17">
        <v>-2.4199999999999998E-3</v>
      </c>
      <c r="AB8" s="5">
        <v>11.226000000000001</v>
      </c>
      <c r="AC8" s="29">
        <v>2.6519999999999998E-2</v>
      </c>
      <c r="AD8" s="5">
        <v>9.1329999999999991</v>
      </c>
      <c r="AE8" s="5" t="s">
        <v>43</v>
      </c>
      <c r="AF8" s="5">
        <v>2018</v>
      </c>
      <c r="AG8" s="12">
        <v>138.87</v>
      </c>
    </row>
    <row r="9" spans="1:34" x14ac:dyDescent="0.25">
      <c r="A9" s="23">
        <f t="shared" si="0"/>
        <v>0.50410958904109593</v>
      </c>
      <c r="B9" s="27">
        <f t="shared" si="1"/>
        <v>4848.03</v>
      </c>
      <c r="C9" s="11" t="s">
        <v>7</v>
      </c>
      <c r="D9" s="6">
        <v>35.93</v>
      </c>
      <c r="E9" s="6">
        <v>31.51</v>
      </c>
      <c r="F9" s="6">
        <v>26.15</v>
      </c>
      <c r="G9" s="6">
        <v>23.68</v>
      </c>
      <c r="H9" s="6">
        <v>21.69</v>
      </c>
      <c r="I9" s="6">
        <v>19.940000000000001</v>
      </c>
      <c r="J9" s="6">
        <v>18.16</v>
      </c>
      <c r="K9" s="6">
        <v>16.41</v>
      </c>
      <c r="L9" s="6">
        <v>15.6</v>
      </c>
      <c r="M9" s="6">
        <v>14.83</v>
      </c>
      <c r="N9" s="6">
        <v>14.11</v>
      </c>
      <c r="O9" s="6">
        <v>13.44</v>
      </c>
      <c r="P9" s="6">
        <v>12.46</v>
      </c>
      <c r="Q9" s="6">
        <v>12.04</v>
      </c>
      <c r="R9" s="6">
        <v>11.89</v>
      </c>
      <c r="S9" s="6">
        <v>11.92</v>
      </c>
      <c r="T9" s="6">
        <v>12.25</v>
      </c>
      <c r="U9" s="6">
        <v>13.75</v>
      </c>
      <c r="V9" s="20">
        <v>15.32</v>
      </c>
      <c r="W9" s="8" t="b">
        <v>1</v>
      </c>
      <c r="X9" s="11" t="s">
        <v>5</v>
      </c>
      <c r="Y9" s="26">
        <v>42878</v>
      </c>
      <c r="Z9" s="16">
        <v>4904.3100000000004</v>
      </c>
      <c r="AA9" s="17">
        <v>-2.4199999999999998E-3</v>
      </c>
      <c r="AB9" s="5">
        <v>81.02</v>
      </c>
      <c r="AC9" s="29">
        <v>9.7269999999999995E-2</v>
      </c>
      <c r="AD9" s="5">
        <v>74.92</v>
      </c>
      <c r="AE9" s="5" t="s">
        <v>43</v>
      </c>
      <c r="AF9" s="5">
        <v>2019</v>
      </c>
      <c r="AG9" s="12">
        <v>131.78</v>
      </c>
    </row>
    <row r="10" spans="1:34" x14ac:dyDescent="0.25">
      <c r="A10" s="23">
        <f t="shared" si="0"/>
        <v>1</v>
      </c>
      <c r="B10" s="27">
        <f t="shared" si="1"/>
        <v>4821.28</v>
      </c>
      <c r="C10" s="11" t="s">
        <v>8</v>
      </c>
      <c r="D10" s="40">
        <v>32.770000000000003</v>
      </c>
      <c r="E10" s="6">
        <v>27.78</v>
      </c>
      <c r="F10" s="6">
        <v>23.64</v>
      </c>
      <c r="G10" s="6">
        <v>21.9</v>
      </c>
      <c r="H10" s="6">
        <v>20.41</v>
      </c>
      <c r="I10" s="6">
        <v>19.07</v>
      </c>
      <c r="J10" s="6">
        <v>17.8</v>
      </c>
      <c r="K10" s="6">
        <v>16.61</v>
      </c>
      <c r="L10" s="6">
        <v>16.059999999999999</v>
      </c>
      <c r="M10" s="6">
        <v>15.53</v>
      </c>
      <c r="N10" s="6">
        <v>15.04</v>
      </c>
      <c r="O10" s="6">
        <v>14.57</v>
      </c>
      <c r="P10" s="6">
        <v>13.72</v>
      </c>
      <c r="Q10" s="6">
        <v>13.15</v>
      </c>
      <c r="R10" s="6">
        <v>12.85</v>
      </c>
      <c r="S10" s="6">
        <v>12.68</v>
      </c>
      <c r="T10" s="6">
        <v>12.65</v>
      </c>
      <c r="U10" s="6">
        <v>13.09</v>
      </c>
      <c r="V10" s="20">
        <v>14.09</v>
      </c>
      <c r="W10" s="8" t="b">
        <v>1</v>
      </c>
      <c r="X10" s="11" t="s">
        <v>6</v>
      </c>
      <c r="Y10" s="26">
        <v>42909</v>
      </c>
      <c r="Z10" s="16">
        <v>4860.1000000000004</v>
      </c>
      <c r="AA10" s="17">
        <v>-2.4199999999999998E-3</v>
      </c>
      <c r="AB10" s="5">
        <v>124.244</v>
      </c>
      <c r="AC10" s="29">
        <v>9.8900000000000002E-2</v>
      </c>
      <c r="AD10" s="5">
        <v>127.723</v>
      </c>
      <c r="AE10" s="5" t="s">
        <v>43</v>
      </c>
      <c r="AF10" s="5">
        <v>2020</v>
      </c>
      <c r="AG10" s="12">
        <v>128.44999999999999</v>
      </c>
    </row>
    <row r="11" spans="1:34" x14ac:dyDescent="0.25">
      <c r="A11" s="23">
        <f t="shared" si="0"/>
        <v>1.5041095890410958</v>
      </c>
      <c r="B11" s="27">
        <f t="shared" si="1"/>
        <v>4705.63</v>
      </c>
      <c r="C11" s="11" t="s">
        <v>9</v>
      </c>
      <c r="D11" s="6">
        <v>29.61</v>
      </c>
      <c r="E11" s="6">
        <v>25.85</v>
      </c>
      <c r="F11" s="6">
        <v>22.56</v>
      </c>
      <c r="G11" s="6">
        <v>21.21</v>
      </c>
      <c r="H11" s="6">
        <v>20.02</v>
      </c>
      <c r="I11" s="6">
        <v>18.940000000000001</v>
      </c>
      <c r="J11" s="6">
        <v>17.93</v>
      </c>
      <c r="K11" s="6">
        <v>17.010000000000002</v>
      </c>
      <c r="L11" s="6">
        <v>16.579999999999998</v>
      </c>
      <c r="M11" s="6">
        <v>16.18</v>
      </c>
      <c r="N11" s="6">
        <v>15.79</v>
      </c>
      <c r="O11" s="6">
        <v>15.44</v>
      </c>
      <c r="P11" s="6">
        <v>14.82</v>
      </c>
      <c r="Q11" s="6">
        <v>14.35</v>
      </c>
      <c r="R11" s="6">
        <v>14.06</v>
      </c>
      <c r="S11" s="6">
        <v>13.92</v>
      </c>
      <c r="T11" s="6">
        <v>13.91</v>
      </c>
      <c r="U11" s="6">
        <v>14.21</v>
      </c>
      <c r="V11" s="20">
        <v>14.82</v>
      </c>
      <c r="W11" s="8" t="b">
        <v>1</v>
      </c>
      <c r="X11" s="11" t="s">
        <v>7</v>
      </c>
      <c r="Y11" s="24">
        <v>43001</v>
      </c>
      <c r="Z11" s="16">
        <v>4848.03</v>
      </c>
      <c r="AA11" s="17">
        <v>-2.4199999999999998E-3</v>
      </c>
      <c r="AB11" s="5">
        <v>133.369</v>
      </c>
      <c r="AC11" s="29">
        <v>5.3080000000000002E-2</v>
      </c>
      <c r="AD11" s="5">
        <v>133.43700000000001</v>
      </c>
      <c r="AE11" s="5" t="s">
        <v>43</v>
      </c>
      <c r="AF11" s="5">
        <v>2021</v>
      </c>
      <c r="AG11" s="12">
        <v>125.52</v>
      </c>
    </row>
    <row r="12" spans="1:34" x14ac:dyDescent="0.25">
      <c r="A12" s="23">
        <f t="shared" si="0"/>
        <v>2</v>
      </c>
      <c r="B12" s="27">
        <f t="shared" si="1"/>
        <v>4686.1400000000003</v>
      </c>
      <c r="C12" s="11" t="s">
        <v>10</v>
      </c>
      <c r="D12" s="6">
        <v>28.6</v>
      </c>
      <c r="E12" s="6">
        <v>24.9</v>
      </c>
      <c r="F12" s="6">
        <v>21.99</v>
      </c>
      <c r="G12" s="6">
        <v>20.84</v>
      </c>
      <c r="H12" s="6">
        <v>19.84</v>
      </c>
      <c r="I12" s="6">
        <v>18.95</v>
      </c>
      <c r="J12" s="6">
        <v>18.149999999999999</v>
      </c>
      <c r="K12" s="6">
        <v>17.440000000000001</v>
      </c>
      <c r="L12" s="6">
        <v>17.100000000000001</v>
      </c>
      <c r="M12" s="6">
        <v>16.79</v>
      </c>
      <c r="N12" s="6">
        <v>16.5</v>
      </c>
      <c r="O12" s="6">
        <v>16.23</v>
      </c>
      <c r="P12" s="6">
        <v>15.76</v>
      </c>
      <c r="Q12" s="6">
        <v>15.41</v>
      </c>
      <c r="R12" s="6">
        <v>15.16</v>
      </c>
      <c r="S12" s="6">
        <v>15.01</v>
      </c>
      <c r="T12" s="6">
        <v>14.94</v>
      </c>
      <c r="U12" s="6">
        <v>15.03</v>
      </c>
      <c r="V12" s="20">
        <v>15.43</v>
      </c>
      <c r="W12" s="8" t="b">
        <v>1</v>
      </c>
      <c r="X12" s="11" t="s">
        <v>8</v>
      </c>
      <c r="Y12" s="24">
        <v>43182</v>
      </c>
      <c r="Z12" s="16">
        <v>4821.28</v>
      </c>
      <c r="AA12" s="17">
        <v>-2.0100000000000001E-3</v>
      </c>
      <c r="AB12" s="5">
        <v>156.36500000000001</v>
      </c>
      <c r="AC12" s="29">
        <v>3.1370000000000002E-2</v>
      </c>
      <c r="AD12" s="5">
        <v>166.023</v>
      </c>
      <c r="AE12" s="5" t="s">
        <v>43</v>
      </c>
      <c r="AF12" s="5">
        <v>2022</v>
      </c>
      <c r="AG12" s="12">
        <v>123.03</v>
      </c>
    </row>
    <row r="13" spans="1:34" x14ac:dyDescent="0.25">
      <c r="A13" s="23">
        <f t="shared" si="0"/>
        <v>3.0027397260273974</v>
      </c>
      <c r="B13" s="27">
        <f t="shared" si="1"/>
        <v>4565.07</v>
      </c>
      <c r="C13" s="11" t="s">
        <v>11</v>
      </c>
      <c r="D13" s="6">
        <v>26.55</v>
      </c>
      <c r="E13" s="6">
        <v>23.54</v>
      </c>
      <c r="F13" s="6">
        <v>21.24</v>
      </c>
      <c r="G13" s="6">
        <v>20.32</v>
      </c>
      <c r="H13" s="6">
        <v>19.53</v>
      </c>
      <c r="I13" s="6">
        <v>18.850000000000001</v>
      </c>
      <c r="J13" s="6">
        <v>18.27</v>
      </c>
      <c r="K13" s="6">
        <v>17.77</v>
      </c>
      <c r="L13" s="6">
        <v>17.55</v>
      </c>
      <c r="M13" s="6">
        <v>17.34</v>
      </c>
      <c r="N13" s="6">
        <v>17.14</v>
      </c>
      <c r="O13" s="6">
        <v>16.96</v>
      </c>
      <c r="P13" s="6">
        <v>16.63</v>
      </c>
      <c r="Q13" s="6">
        <v>16.37</v>
      </c>
      <c r="R13" s="6">
        <v>16.18</v>
      </c>
      <c r="S13" s="6">
        <v>16.04</v>
      </c>
      <c r="T13" s="6">
        <v>15.94</v>
      </c>
      <c r="U13" s="6">
        <v>15.81</v>
      </c>
      <c r="V13" s="20">
        <v>15.78</v>
      </c>
      <c r="W13" s="8" t="b">
        <v>1</v>
      </c>
      <c r="X13" s="11" t="s">
        <v>9</v>
      </c>
      <c r="Y13" s="24">
        <v>43366</v>
      </c>
      <c r="Z13" s="16">
        <v>4705.63</v>
      </c>
      <c r="AA13" s="17">
        <v>-1.48E-3</v>
      </c>
      <c r="AB13" s="5">
        <v>271.16800000000001</v>
      </c>
      <c r="AC13" s="29">
        <v>3.6170000000000001E-2</v>
      </c>
      <c r="AD13" s="5">
        <v>306.18200000000002</v>
      </c>
      <c r="AE13" s="5" t="s">
        <v>43</v>
      </c>
      <c r="AF13" s="5">
        <v>2023</v>
      </c>
      <c r="AG13" s="12">
        <v>120.83</v>
      </c>
    </row>
    <row r="14" spans="1:34" x14ac:dyDescent="0.25">
      <c r="A14" s="23">
        <f t="shared" si="0"/>
        <v>4.0027397260273974</v>
      </c>
      <c r="B14" s="27">
        <f t="shared" si="1"/>
        <v>4458.46</v>
      </c>
      <c r="C14" s="11" t="s">
        <v>12</v>
      </c>
      <c r="D14" s="6">
        <v>25.24</v>
      </c>
      <c r="E14" s="6">
        <v>22.67</v>
      </c>
      <c r="F14" s="6">
        <v>20.72</v>
      </c>
      <c r="G14" s="6">
        <v>19.96</v>
      </c>
      <c r="H14" s="6">
        <v>19.32</v>
      </c>
      <c r="I14" s="6">
        <v>18.8</v>
      </c>
      <c r="J14" s="6">
        <v>18.36</v>
      </c>
      <c r="K14" s="6">
        <v>17.989999999999998</v>
      </c>
      <c r="L14" s="6">
        <v>17.829999999999998</v>
      </c>
      <c r="M14" s="6">
        <v>17.68</v>
      </c>
      <c r="N14" s="6">
        <v>17.54</v>
      </c>
      <c r="O14" s="6">
        <v>17.41</v>
      </c>
      <c r="P14" s="6">
        <v>17.18</v>
      </c>
      <c r="Q14" s="6">
        <v>17</v>
      </c>
      <c r="R14" s="6">
        <v>16.86</v>
      </c>
      <c r="S14" s="6">
        <v>16.77</v>
      </c>
      <c r="T14" s="6">
        <v>16.71</v>
      </c>
      <c r="U14" s="6">
        <v>16.66</v>
      </c>
      <c r="V14" s="20">
        <v>16.66</v>
      </c>
      <c r="W14" s="8" t="b">
        <v>0</v>
      </c>
      <c r="X14" s="11" t="s">
        <v>10</v>
      </c>
      <c r="Y14" s="24">
        <v>43547</v>
      </c>
      <c r="Z14" s="16">
        <v>4686.1400000000003</v>
      </c>
      <c r="AA14" s="17">
        <v>-9.5E-4</v>
      </c>
      <c r="AB14" s="5">
        <v>292.21600000000001</v>
      </c>
      <c r="AC14" s="29">
        <v>2.9319999999999999E-2</v>
      </c>
      <c r="AD14" s="5">
        <v>339.23399999999998</v>
      </c>
      <c r="AE14" s="5" t="s">
        <v>43</v>
      </c>
      <c r="AF14" s="5">
        <v>2024</v>
      </c>
      <c r="AG14" s="12">
        <v>120.6</v>
      </c>
    </row>
    <row r="15" spans="1:34" x14ac:dyDescent="0.25">
      <c r="A15" s="23">
        <f t="shared" si="0"/>
        <v>5.0027397260273974</v>
      </c>
      <c r="B15" s="27">
        <f t="shared" si="1"/>
        <v>4365.8100000000004</v>
      </c>
      <c r="C15" s="11" t="s">
        <v>13</v>
      </c>
      <c r="D15" s="6">
        <v>24.31</v>
      </c>
      <c r="E15" s="6">
        <v>22.15</v>
      </c>
      <c r="F15" s="6">
        <v>20.5</v>
      </c>
      <c r="G15" s="6">
        <v>19.86</v>
      </c>
      <c r="H15" s="6">
        <v>19.32</v>
      </c>
      <c r="I15" s="6">
        <v>18.88</v>
      </c>
      <c r="J15" s="6">
        <v>18.5</v>
      </c>
      <c r="K15" s="6">
        <v>18.18</v>
      </c>
      <c r="L15" s="6">
        <v>18.05</v>
      </c>
      <c r="M15" s="6">
        <v>17.920000000000002</v>
      </c>
      <c r="N15" s="6">
        <v>17.8</v>
      </c>
      <c r="O15" s="6">
        <v>17.690000000000001</v>
      </c>
      <c r="P15" s="6">
        <v>17.5</v>
      </c>
      <c r="Q15" s="6">
        <v>17.350000000000001</v>
      </c>
      <c r="R15" s="6">
        <v>17.25</v>
      </c>
      <c r="S15" s="6">
        <v>17.190000000000001</v>
      </c>
      <c r="T15" s="6">
        <v>17.16</v>
      </c>
      <c r="U15" s="6">
        <v>17.14</v>
      </c>
      <c r="V15" s="20">
        <v>17.18</v>
      </c>
      <c r="W15" s="8" t="b">
        <v>0</v>
      </c>
      <c r="X15" s="11" t="s">
        <v>11</v>
      </c>
      <c r="Y15" s="24">
        <v>43913</v>
      </c>
      <c r="Z15" s="16">
        <v>4565.07</v>
      </c>
      <c r="AA15" s="17">
        <v>1.7000000000000001E-4</v>
      </c>
      <c r="AB15" s="5">
        <v>424.51400000000001</v>
      </c>
      <c r="AC15" s="29">
        <v>2.8369999999999999E-2</v>
      </c>
      <c r="AD15" s="5">
        <v>524.81700000000001</v>
      </c>
      <c r="AE15" s="5" t="s">
        <v>43</v>
      </c>
      <c r="AF15" s="5">
        <v>2025</v>
      </c>
      <c r="AG15" s="12">
        <v>117.27</v>
      </c>
    </row>
    <row r="16" spans="1:34" x14ac:dyDescent="0.25">
      <c r="A16" s="23">
        <f t="shared" si="0"/>
        <v>7.0054794520547947</v>
      </c>
      <c r="B16" s="27">
        <f t="shared" si="1"/>
        <v>4217.21</v>
      </c>
      <c r="C16" s="11" t="s">
        <v>14</v>
      </c>
      <c r="D16" s="6">
        <v>23.15</v>
      </c>
      <c r="E16" s="6">
        <v>21.5</v>
      </c>
      <c r="F16" s="6">
        <v>20.309999999999999</v>
      </c>
      <c r="G16" s="6">
        <v>19.850000000000001</v>
      </c>
      <c r="H16" s="6">
        <v>19.46</v>
      </c>
      <c r="I16" s="6">
        <v>19.14</v>
      </c>
      <c r="J16" s="6">
        <v>18.86</v>
      </c>
      <c r="K16" s="6">
        <v>18.62</v>
      </c>
      <c r="L16" s="6">
        <v>18.510000000000002</v>
      </c>
      <c r="M16" s="6">
        <v>18.41</v>
      </c>
      <c r="N16" s="6">
        <v>18.32</v>
      </c>
      <c r="O16" s="6">
        <v>18.23</v>
      </c>
      <c r="P16" s="6">
        <v>18.079999999999998</v>
      </c>
      <c r="Q16" s="6">
        <v>17.96</v>
      </c>
      <c r="R16" s="6">
        <v>17.86</v>
      </c>
      <c r="S16" s="6">
        <v>17.8</v>
      </c>
      <c r="T16" s="6">
        <v>17.760000000000002</v>
      </c>
      <c r="U16" s="6">
        <v>17.72</v>
      </c>
      <c r="V16" s="20">
        <v>17.73</v>
      </c>
      <c r="W16" s="8" t="b">
        <v>0</v>
      </c>
      <c r="X16" s="11" t="s">
        <v>12</v>
      </c>
      <c r="Y16" s="24">
        <v>44278</v>
      </c>
      <c r="Z16" s="16">
        <v>4458.46</v>
      </c>
      <c r="AA16" s="17">
        <v>1.3500000000000001E-3</v>
      </c>
      <c r="AB16" s="5">
        <v>552.84799999999996</v>
      </c>
      <c r="AC16" s="29">
        <v>2.7709999999999999E-2</v>
      </c>
      <c r="AD16" s="5">
        <v>690.84</v>
      </c>
      <c r="AE16" s="5" t="s">
        <v>43</v>
      </c>
      <c r="AF16" s="5">
        <v>2026</v>
      </c>
      <c r="AG16" s="12">
        <v>115.91</v>
      </c>
    </row>
    <row r="17" spans="1:33" x14ac:dyDescent="0.25">
      <c r="A17" s="23">
        <f t="shared" si="0"/>
        <v>10.005479452054795</v>
      </c>
      <c r="B17" s="27">
        <f t="shared" si="1"/>
        <v>4066.49</v>
      </c>
      <c r="C17" s="11" t="s">
        <v>15</v>
      </c>
      <c r="D17" s="6">
        <v>22.51</v>
      </c>
      <c r="E17" s="6">
        <v>21.35</v>
      </c>
      <c r="F17" s="6">
        <v>20.52</v>
      </c>
      <c r="G17" s="6">
        <v>20.2</v>
      </c>
      <c r="H17" s="6">
        <v>19.93</v>
      </c>
      <c r="I17" s="6">
        <v>19.690000000000001</v>
      </c>
      <c r="J17" s="6">
        <v>19.489999999999998</v>
      </c>
      <c r="K17" s="6">
        <v>19.309999999999999</v>
      </c>
      <c r="L17" s="6">
        <v>19.23</v>
      </c>
      <c r="M17" s="6">
        <v>19.149999999999999</v>
      </c>
      <c r="N17" s="6">
        <v>19.079999999999998</v>
      </c>
      <c r="O17" s="6">
        <v>19.010000000000002</v>
      </c>
      <c r="P17" s="6">
        <v>18.89</v>
      </c>
      <c r="Q17" s="6">
        <v>18.79</v>
      </c>
      <c r="R17" s="6">
        <v>18.7</v>
      </c>
      <c r="S17" s="6">
        <v>18.64</v>
      </c>
      <c r="T17" s="6">
        <v>18.600000000000001</v>
      </c>
      <c r="U17" s="6">
        <v>18.55</v>
      </c>
      <c r="V17" s="20">
        <v>18.53</v>
      </c>
      <c r="W17" s="8" t="b">
        <v>0</v>
      </c>
      <c r="X17" s="11" t="s">
        <v>13</v>
      </c>
      <c r="Y17" s="24">
        <v>44643</v>
      </c>
      <c r="Z17" s="16">
        <v>4365.8100000000004</v>
      </c>
      <c r="AA17" s="17">
        <v>2.5899999999999999E-3</v>
      </c>
      <c r="AB17" s="5">
        <v>677.572</v>
      </c>
      <c r="AC17" s="29">
        <v>2.7179999999999999E-2</v>
      </c>
      <c r="AD17" s="5">
        <v>864.05100000000004</v>
      </c>
      <c r="AE17" s="5" t="s">
        <v>43</v>
      </c>
      <c r="AF17" s="5"/>
      <c r="AG17" s="12"/>
    </row>
    <row r="18" spans="1:33" ht="15.75" thickBot="1" x14ac:dyDescent="0.3">
      <c r="A18" s="23">
        <f t="shared" si="0"/>
        <v>12.008219178082191</v>
      </c>
      <c r="B18" s="27">
        <f t="shared" si="1"/>
        <v>4166.03</v>
      </c>
      <c r="C18" s="13" t="s">
        <v>16</v>
      </c>
      <c r="D18" s="21">
        <v>22.87</v>
      </c>
      <c r="E18" s="21">
        <v>21.88</v>
      </c>
      <c r="F18" s="21">
        <v>21.17</v>
      </c>
      <c r="G18" s="21">
        <v>20.89</v>
      </c>
      <c r="H18" s="21">
        <v>20.65</v>
      </c>
      <c r="I18" s="21">
        <v>20.440000000000001</v>
      </c>
      <c r="J18" s="21">
        <v>20.260000000000002</v>
      </c>
      <c r="K18" s="21">
        <v>20.100000000000001</v>
      </c>
      <c r="L18" s="21">
        <v>20.02</v>
      </c>
      <c r="M18" s="21">
        <v>19.95</v>
      </c>
      <c r="N18" s="21">
        <v>19.89</v>
      </c>
      <c r="O18" s="21">
        <v>19.82</v>
      </c>
      <c r="P18" s="21">
        <v>19.71</v>
      </c>
      <c r="Q18" s="21">
        <v>19.61</v>
      </c>
      <c r="R18" s="21">
        <v>19.52</v>
      </c>
      <c r="S18" s="21">
        <v>19.440000000000001</v>
      </c>
      <c r="T18" s="21">
        <v>19.38</v>
      </c>
      <c r="U18" s="21">
        <v>19.29</v>
      </c>
      <c r="V18" s="22">
        <v>19.25</v>
      </c>
      <c r="W18" s="8" t="b">
        <v>0</v>
      </c>
      <c r="X18" s="11" t="s">
        <v>14</v>
      </c>
      <c r="Y18" s="24">
        <v>45374</v>
      </c>
      <c r="Z18" s="16">
        <v>4217.21</v>
      </c>
      <c r="AA18" s="17">
        <v>5.0600000000000003E-3</v>
      </c>
      <c r="AB18" s="5">
        <v>916.81200000000001</v>
      </c>
      <c r="AC18" s="29">
        <v>2.6259999999999999E-2</v>
      </c>
      <c r="AD18" s="5">
        <v>1215.6569999999999</v>
      </c>
      <c r="AE18" s="5" t="s">
        <v>43</v>
      </c>
      <c r="AF18" s="5"/>
      <c r="AG18" s="12"/>
    </row>
    <row r="19" spans="1:33" x14ac:dyDescent="0.25">
      <c r="X19" s="11" t="s">
        <v>15</v>
      </c>
      <c r="Y19" s="24">
        <v>46469</v>
      </c>
      <c r="Z19" s="16">
        <v>4066.49</v>
      </c>
      <c r="AA19" s="17">
        <v>8.4499999999999992E-3</v>
      </c>
      <c r="AB19" s="5">
        <v>1250.152</v>
      </c>
      <c r="AC19" s="29">
        <v>2.5069999999999999E-2</v>
      </c>
      <c r="AD19" s="5">
        <v>1740.4739999999999</v>
      </c>
      <c r="AE19" s="5" t="s">
        <v>43</v>
      </c>
      <c r="AF19" s="5"/>
      <c r="AG19" s="12"/>
    </row>
    <row r="20" spans="1:33" ht="15.75" thickBot="1" x14ac:dyDescent="0.3">
      <c r="C20" s="2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X20" s="13" t="s">
        <v>16</v>
      </c>
      <c r="Y20" s="25">
        <v>47200</v>
      </c>
      <c r="Z20" s="28">
        <v>4166.03</v>
      </c>
      <c r="AA20" s="18">
        <v>1.027E-2</v>
      </c>
      <c r="AB20" s="14">
        <v>1304.125</v>
      </c>
      <c r="AC20" s="30">
        <v>2.179E-2</v>
      </c>
      <c r="AD20" s="14">
        <v>2099.2669999999998</v>
      </c>
      <c r="AE20" s="14" t="s">
        <v>43</v>
      </c>
      <c r="AF20" s="14"/>
      <c r="AG20" s="15"/>
    </row>
    <row r="21" spans="1:33" x14ac:dyDescent="0.25">
      <c r="C21" s="1"/>
      <c r="D21" s="1">
        <f>+D2/100*$Y$2</f>
        <v>2493.6550000000002</v>
      </c>
      <c r="E21" s="1">
        <f t="shared" ref="E21:V21" si="2">+E2/100*$Y$2</f>
        <v>2992.386</v>
      </c>
      <c r="F21" s="1">
        <f t="shared" si="2"/>
        <v>3491.1170000000002</v>
      </c>
      <c r="G21" s="1">
        <f t="shared" si="2"/>
        <v>3740.4825000000001</v>
      </c>
      <c r="H21" s="1">
        <f t="shared" si="2"/>
        <v>3989.8480000000004</v>
      </c>
      <c r="I21" s="1">
        <f t="shared" si="2"/>
        <v>4239.2134999999998</v>
      </c>
      <c r="J21" s="1">
        <f t="shared" si="2"/>
        <v>4488.5790000000006</v>
      </c>
      <c r="K21" s="1">
        <f t="shared" si="2"/>
        <v>4737.9445000000005</v>
      </c>
      <c r="L21" s="1">
        <f t="shared" si="2"/>
        <v>4862.6272500000005</v>
      </c>
      <c r="M21" s="1">
        <f t="shared" si="2"/>
        <v>4987.3100000000004</v>
      </c>
      <c r="N21" s="1">
        <f t="shared" si="2"/>
        <v>5111.9927500000003</v>
      </c>
      <c r="O21" s="1">
        <f t="shared" si="2"/>
        <v>5236.6755000000003</v>
      </c>
      <c r="P21" s="1">
        <f t="shared" si="2"/>
        <v>5486.0410000000011</v>
      </c>
      <c r="Q21" s="1">
        <f t="shared" si="2"/>
        <v>5735.4065000000001</v>
      </c>
      <c r="R21" s="1">
        <f t="shared" si="2"/>
        <v>5984.7719999999999</v>
      </c>
      <c r="S21" s="1">
        <f t="shared" si="2"/>
        <v>6234.1375000000007</v>
      </c>
      <c r="T21" s="1">
        <f t="shared" si="2"/>
        <v>6483.5030000000006</v>
      </c>
      <c r="U21" s="1">
        <f t="shared" si="2"/>
        <v>6982.2340000000004</v>
      </c>
      <c r="V21" s="1">
        <f t="shared" si="2"/>
        <v>7480.9650000000001</v>
      </c>
    </row>
    <row r="22" spans="1:33" x14ac:dyDescent="0.25">
      <c r="C22" s="1">
        <f>+A3</f>
        <v>1.9178082191780823E-2</v>
      </c>
      <c r="D22" s="4">
        <f t="shared" ref="D22:V22" si="3">(
$B3*_xlfn.NORM.DIST((LN($B3/D$21)+(D3*D3*$A3/20000))/(D3*SQRT($A3)*0.01),0,1,TRUE)    -
D$21*_xlfn.NORM.DIST((LN($B3/D$21)-(D3*D3*$A3/20000))/(D3*SQRT($A3)*0.01),0,1,TRUE)
)*EXP(-$AA5*$A3)</f>
        <v>2492.2406645950014</v>
      </c>
      <c r="E22" s="4">
        <f t="shared" si="3"/>
        <v>1993.4865174788836</v>
      </c>
      <c r="F22" s="4">
        <f t="shared" si="3"/>
        <v>1494.7323710191702</v>
      </c>
      <c r="G22" s="4">
        <f t="shared" si="3"/>
        <v>1245.3553018116952</v>
      </c>
      <c r="H22" s="4">
        <f t="shared" si="3"/>
        <v>995.97824731390881</v>
      </c>
      <c r="I22" s="4">
        <f t="shared" si="3"/>
        <v>746.60120845100835</v>
      </c>
      <c r="J22" s="4">
        <f t="shared" si="3"/>
        <v>497.23270426495816</v>
      </c>
      <c r="K22" s="4">
        <f t="shared" si="3"/>
        <v>248.58334130986373</v>
      </c>
      <c r="L22" s="4">
        <f t="shared" si="3"/>
        <v>127.32917557527787</v>
      </c>
      <c r="M22" s="4">
        <f t="shared" si="3"/>
        <v>29.93220361182772</v>
      </c>
      <c r="N22" s="4">
        <f t="shared" si="3"/>
        <v>1.1631753122047892</v>
      </c>
      <c r="O22" s="4">
        <f t="shared" si="3"/>
        <v>8.9206253814995973E-2</v>
      </c>
      <c r="P22" s="4">
        <f t="shared" si="3"/>
        <v>7.3167985759426822E-4</v>
      </c>
      <c r="Q22" s="4">
        <f t="shared" si="3"/>
        <v>1.3068182518513691E-6</v>
      </c>
      <c r="R22" s="4">
        <f t="shared" si="3"/>
        <v>5.668761202994339E-10</v>
      </c>
      <c r="S22" s="4">
        <f t="shared" si="3"/>
        <v>7.0265497923026237E-14</v>
      </c>
      <c r="T22" s="4">
        <f t="shared" si="3"/>
        <v>2.1573693868810509E-18</v>
      </c>
      <c r="U22" s="4">
        <f t="shared" si="3"/>
        <v>1.8256711314515691E-28</v>
      </c>
      <c r="V22" s="4">
        <f t="shared" si="3"/>
        <v>3.0536063267476252E-39</v>
      </c>
    </row>
    <row r="23" spans="1:33" x14ac:dyDescent="0.25">
      <c r="C23" s="1">
        <f t="shared" ref="C23:C24" si="4">+A4</f>
        <v>3.8356164383561646E-2</v>
      </c>
      <c r="D23" s="4">
        <f t="shared" ref="D23:V23" si="5">(
$B4*_xlfn.NORM.DIST((LN($B4/D$21)+(D4*D4*$A4/20000))/(D4*SQRT($A4)*0.01),0,1,TRUE)    -
D$21*_xlfn.NORM.DIST((LN($B4/D$21)-(D4*D4*$A4/20000))/(D4*SQRT($A4)*0.01),0,1,TRUE)
)*EXP(-$AA6*$A4)</f>
        <v>2490.9162008976527</v>
      </c>
      <c r="E23" s="4">
        <f t="shared" si="5"/>
        <v>1992.1389062111489</v>
      </c>
      <c r="F23" s="4">
        <f t="shared" si="5"/>
        <v>1493.3616265851188</v>
      </c>
      <c r="G23" s="4">
        <f t="shared" si="5"/>
        <v>1243.9730118345603</v>
      </c>
      <c r="H23" s="4">
        <f t="shared" si="5"/>
        <v>994.5844317418663</v>
      </c>
      <c r="I23" s="4">
        <f t="shared" si="5"/>
        <v>745.20154266000941</v>
      </c>
      <c r="J23" s="4">
        <f t="shared" si="5"/>
        <v>496.01724132325455</v>
      </c>
      <c r="K23" s="4">
        <f t="shared" si="5"/>
        <v>249.23514719975034</v>
      </c>
      <c r="L23" s="4">
        <f t="shared" si="5"/>
        <v>132.18576721585137</v>
      </c>
      <c r="M23" s="4">
        <f t="shared" si="5"/>
        <v>40.83985717086194</v>
      </c>
      <c r="N23" s="4">
        <f t="shared" si="5"/>
        <v>6.6150666067455957</v>
      </c>
      <c r="O23" s="4">
        <f t="shared" si="5"/>
        <v>1.0721222767841583</v>
      </c>
      <c r="P23" s="4">
        <f t="shared" si="5"/>
        <v>3.9779263325537717E-2</v>
      </c>
      <c r="Q23" s="4">
        <f t="shared" si="5"/>
        <v>1.5387249051792818E-3</v>
      </c>
      <c r="R23" s="4">
        <f t="shared" si="5"/>
        <v>3.4639541813178644E-5</v>
      </c>
      <c r="S23" s="4">
        <f t="shared" si="5"/>
        <v>4.5976912097447427E-7</v>
      </c>
      <c r="T23" s="4">
        <f t="shared" si="5"/>
        <v>3.9358188521148971E-9</v>
      </c>
      <c r="U23" s="4">
        <f t="shared" si="5"/>
        <v>7.438929557409695E-14</v>
      </c>
      <c r="V23" s="4">
        <f t="shared" si="5"/>
        <v>4.1122873983381085E-19</v>
      </c>
    </row>
    <row r="24" spans="1:33" x14ac:dyDescent="0.25">
      <c r="C24" s="1">
        <f t="shared" si="4"/>
        <v>5.7534246575342465E-2</v>
      </c>
      <c r="D24" s="4">
        <f t="shared" ref="D24:V24" si="6">(
$B5*_xlfn.NORM.DIST((LN($B5/D$21)+(D5*D5*$A5/20000))/(D5*SQRT($A5)*0.01),0,1,TRUE)    -
D$21*_xlfn.NORM.DIST((LN($B5/D$21)-(D5*D5*$A5/20000))/(D5*SQRT($A5)*0.01),0,1,TRUE)
)*EXP(-$AA7*$A5)</f>
        <v>2489.6316146273971</v>
      </c>
      <c r="E24" s="4">
        <f t="shared" si="6"/>
        <v>1990.83117500246</v>
      </c>
      <c r="F24" s="4">
        <f t="shared" si="6"/>
        <v>1492.030774136284</v>
      </c>
      <c r="G24" s="4">
        <f t="shared" si="6"/>
        <v>1242.6305920739337</v>
      </c>
      <c r="H24" s="4">
        <f t="shared" si="6"/>
        <v>993.23127370440193</v>
      </c>
      <c r="I24" s="4">
        <f t="shared" si="6"/>
        <v>743.85720062729217</v>
      </c>
      <c r="J24" s="4">
        <f t="shared" si="6"/>
        <v>494.79806096448038</v>
      </c>
      <c r="K24" s="4">
        <f t="shared" si="6"/>
        <v>249.12982454748948</v>
      </c>
      <c r="L24" s="4">
        <f t="shared" si="6"/>
        <v>135.12126363251213</v>
      </c>
      <c r="M24" s="4">
        <f t="shared" si="6"/>
        <v>49.369596656180548</v>
      </c>
      <c r="N24" s="4">
        <f t="shared" si="6"/>
        <v>12.589160128733569</v>
      </c>
      <c r="O24" s="4">
        <f t="shared" si="6"/>
        <v>3.1617721081197905</v>
      </c>
      <c r="P24" s="4">
        <f t="shared" si="6"/>
        <v>0.2378121205584755</v>
      </c>
      <c r="Q24" s="4">
        <f t="shared" si="6"/>
        <v>1.9884602807450052E-2</v>
      </c>
      <c r="R24" s="4">
        <f t="shared" si="6"/>
        <v>1.6776227252206825E-3</v>
      </c>
      <c r="S24" s="4">
        <f t="shared" si="6"/>
        <v>1.1183538456124559E-4</v>
      </c>
      <c r="T24" s="4">
        <f t="shared" si="6"/>
        <v>5.6597666392927475E-6</v>
      </c>
      <c r="U24" s="4">
        <f t="shared" si="6"/>
        <v>7.0674262976765464E-9</v>
      </c>
      <c r="V24" s="4">
        <f t="shared" si="6"/>
        <v>4.0971885212776911E-12</v>
      </c>
    </row>
    <row r="25" spans="1:33" x14ac:dyDescent="0.25">
      <c r="C25" s="1">
        <f t="shared" ref="C25:C37" si="7">+A6</f>
        <v>8.4931506849315067E-2</v>
      </c>
      <c r="D25" s="4">
        <f t="shared" ref="D25:V25" si="8">(
$B6*_xlfn.NORM.DIST((LN($B6/D$21)+(D6*D6*$A6/20000))/(D6*SQRT($A6)*0.01),0,1,TRUE)    -
D$21*_xlfn.NORM.DIST((LN($B6/D$21)-(D6*D6*$A6/20000))/(D6*SQRT($A6)*0.01),0,1,TRUE)
)*EXP(-$AA8*$A6)</f>
        <v>2481.9150663058649</v>
      </c>
      <c r="E25" s="4">
        <f t="shared" si="8"/>
        <v>1983.08172061593</v>
      </c>
      <c r="F25" s="4">
        <f t="shared" si="8"/>
        <v>1484.2766545907946</v>
      </c>
      <c r="G25" s="4">
        <f t="shared" si="8"/>
        <v>1234.9737518864424</v>
      </c>
      <c r="H25" s="4">
        <f t="shared" si="8"/>
        <v>985.82158660782545</v>
      </c>
      <c r="I25" s="4">
        <f t="shared" si="8"/>
        <v>736.86286712650019</v>
      </c>
      <c r="J25" s="4">
        <f t="shared" si="8"/>
        <v>489.04275659366192</v>
      </c>
      <c r="K25" s="4">
        <f t="shared" si="8"/>
        <v>248.32128999607107</v>
      </c>
      <c r="L25" s="4">
        <f t="shared" si="8"/>
        <v>140.46332055902889</v>
      </c>
      <c r="M25" s="4">
        <f t="shared" si="8"/>
        <v>58.295681353391927</v>
      </c>
      <c r="N25" s="4">
        <f t="shared" si="8"/>
        <v>15.157093471021055</v>
      </c>
      <c r="O25" s="4">
        <f t="shared" si="8"/>
        <v>2.7388213767290339</v>
      </c>
      <c r="P25" s="4">
        <f t="shared" si="8"/>
        <v>8.4313646741533119E-2</v>
      </c>
      <c r="Q25" s="4">
        <f t="shared" si="8"/>
        <v>3.8219628111914273E-3</v>
      </c>
      <c r="R25" s="4">
        <f t="shared" si="8"/>
        <v>1.2129560640306513E-4</v>
      </c>
      <c r="S25" s="4">
        <f t="shared" si="8"/>
        <v>2.4518448123529183E-6</v>
      </c>
      <c r="T25" s="4">
        <f t="shared" si="8"/>
        <v>3.4897538575829737E-8</v>
      </c>
      <c r="U25" s="4">
        <f t="shared" si="8"/>
        <v>2.262247562813668E-12</v>
      </c>
      <c r="V25" s="4">
        <f t="shared" si="8"/>
        <v>5.3492438962107447E-17</v>
      </c>
    </row>
    <row r="26" spans="1:33" x14ac:dyDescent="0.25">
      <c r="C26" s="1">
        <f t="shared" si="7"/>
        <v>0.16712328767123288</v>
      </c>
      <c r="D26" s="4">
        <f t="shared" ref="D26:V26" si="9">(
$B7*_xlfn.NORM.DIST((LN($B7/D$21)+(D7*D7*$A7/20000))/(D7*SQRT($A7)*0.01),0,1,TRUE)    -
D$21*_xlfn.NORM.DIST((LN($B7/D$21)-(D7*D7*$A7/20000))/(D7*SQRT($A7)*0.01),0,1,TRUE)
)*EXP(-$AA9*$A7)</f>
        <v>2411.6310915313729</v>
      </c>
      <c r="E26" s="4">
        <f t="shared" si="9"/>
        <v>1912.744714567011</v>
      </c>
      <c r="F26" s="4">
        <f t="shared" si="9"/>
        <v>1414.2280435241573</v>
      </c>
      <c r="G26" s="4">
        <f t="shared" si="9"/>
        <v>1165.2566982588869</v>
      </c>
      <c r="H26" s="4">
        <f t="shared" si="9"/>
        <v>916.73013628758804</v>
      </c>
      <c r="I26" s="4">
        <f t="shared" si="9"/>
        <v>671.51997827935759</v>
      </c>
      <c r="J26" s="4">
        <f t="shared" si="9"/>
        <v>437.70733230217871</v>
      </c>
      <c r="K26" s="4">
        <f t="shared" si="9"/>
        <v>228.76816630735215</v>
      </c>
      <c r="L26" s="4">
        <f t="shared" si="9"/>
        <v>143.78952536509809</v>
      </c>
      <c r="M26" s="4">
        <f t="shared" si="9"/>
        <v>77.496475705807782</v>
      </c>
      <c r="N26" s="4">
        <f t="shared" si="9"/>
        <v>31.556771362984524</v>
      </c>
      <c r="O26" s="4">
        <f t="shared" si="9"/>
        <v>8.9016093834080205</v>
      </c>
      <c r="P26" s="4">
        <f t="shared" si="9"/>
        <v>0.59290842018817402</v>
      </c>
      <c r="Q26" s="4">
        <f t="shared" si="9"/>
        <v>2.4495941706993315E-2</v>
      </c>
      <c r="R26" s="4">
        <f t="shared" si="9"/>
        <v>5.6144207484674382E-4</v>
      </c>
      <c r="S26" s="4">
        <f t="shared" si="9"/>
        <v>1.4259291305029559E-5</v>
      </c>
      <c r="T26" s="4">
        <f t="shared" si="9"/>
        <v>1.9433621234983173E-6</v>
      </c>
      <c r="U26" s="4">
        <f t="shared" si="9"/>
        <v>1.0623608277390074E-7</v>
      </c>
      <c r="V26" s="4">
        <f t="shared" si="9"/>
        <v>5.6224552978144509E-9</v>
      </c>
    </row>
    <row r="27" spans="1:33" x14ac:dyDescent="0.25">
      <c r="C27" s="1">
        <f t="shared" si="7"/>
        <v>0.25205479452054796</v>
      </c>
      <c r="D27" s="4">
        <f t="shared" ref="D27:V27" si="10">(
$B8*_xlfn.NORM.DIST((LN($B8/D$21)+(D8*D8*$A8/20000))/(D8*SQRT($A8)*0.01),0,1,TRUE)    -
D$21*_xlfn.NORM.DIST((LN($B8/D$21)-(D8*D8*$A8/20000))/(D8*SQRT($A8)*0.01),0,1,TRUE)
)*EXP(-$AA10*$A8)</f>
        <v>2367.9755514124599</v>
      </c>
      <c r="E27" s="4">
        <f t="shared" si="10"/>
        <v>1869.7932151825103</v>
      </c>
      <c r="F27" s="4">
        <f t="shared" si="10"/>
        <v>1373.0936633870767</v>
      </c>
      <c r="G27" s="4">
        <f t="shared" si="10"/>
        <v>1125.3562220043018</v>
      </c>
      <c r="H27" s="4">
        <f t="shared" si="10"/>
        <v>879.69777699667691</v>
      </c>
      <c r="I27" s="4">
        <f t="shared" si="10"/>
        <v>641.82127389130437</v>
      </c>
      <c r="J27" s="4">
        <f t="shared" si="10"/>
        <v>419.18280196711032</v>
      </c>
      <c r="K27" s="4">
        <f t="shared" si="10"/>
        <v>225.99940699579327</v>
      </c>
      <c r="L27" s="4">
        <f t="shared" si="10"/>
        <v>148.1555214687306</v>
      </c>
      <c r="M27" s="4">
        <f t="shared" si="10"/>
        <v>86.283073876894534</v>
      </c>
      <c r="N27" s="4">
        <f t="shared" si="10"/>
        <v>42.413049124889611</v>
      </c>
      <c r="O27" s="4">
        <f t="shared" si="10"/>
        <v>17.131325263081326</v>
      </c>
      <c r="P27" s="4">
        <f t="shared" si="10"/>
        <v>2.0545487014587862</v>
      </c>
      <c r="Q27" s="4">
        <f t="shared" si="10"/>
        <v>0.21347011649401346</v>
      </c>
      <c r="R27" s="4">
        <f t="shared" si="10"/>
        <v>1.6175385056806914E-2</v>
      </c>
      <c r="S27" s="4">
        <f t="shared" si="10"/>
        <v>8.6834490701282298E-4</v>
      </c>
      <c r="T27" s="4">
        <f t="shared" si="10"/>
        <v>3.4017161694430228E-5</v>
      </c>
      <c r="U27" s="4">
        <f t="shared" si="10"/>
        <v>2.496317677200661E-8</v>
      </c>
      <c r="V27" s="4">
        <f t="shared" si="10"/>
        <v>2.9714615484764043E-11</v>
      </c>
    </row>
    <row r="28" spans="1:33" x14ac:dyDescent="0.25">
      <c r="C28" s="1">
        <f t="shared" si="7"/>
        <v>0.50410958904109593</v>
      </c>
      <c r="D28" s="4">
        <f t="shared" ref="D28:V28" si="11">(
$B9*_xlfn.NORM.DIST((LN($B9/D$21)+(D9*D9*$A9/20000))/(D9*SQRT($A9)*0.01),0,1,TRUE)    -
D$21*_xlfn.NORM.DIST((LN($B9/D$21)-(D9*D9*$A9/20000))/(D9*SQRT($A9)*0.01),0,1,TRUE)
)*EXP(-$AA11*$A9)</f>
        <v>2358.5154046857861</v>
      </c>
      <c r="E28" s="4">
        <f t="shared" si="11"/>
        <v>1862.5980381787076</v>
      </c>
      <c r="F28" s="4">
        <f t="shared" si="11"/>
        <v>1370.3445047406422</v>
      </c>
      <c r="G28" s="4">
        <f t="shared" si="11"/>
        <v>1127.9007074421945</v>
      </c>
      <c r="H28" s="4">
        <f t="shared" si="11"/>
        <v>892.40180051005029</v>
      </c>
      <c r="I28" s="4">
        <f t="shared" si="11"/>
        <v>668.53621819601892</v>
      </c>
      <c r="J28" s="4">
        <f t="shared" si="11"/>
        <v>461.76993543181072</v>
      </c>
      <c r="K28" s="4">
        <f t="shared" si="11"/>
        <v>282.35440896509596</v>
      </c>
      <c r="L28" s="4">
        <f t="shared" si="11"/>
        <v>207.46731421216134</v>
      </c>
      <c r="M28" s="4">
        <f t="shared" si="11"/>
        <v>144.43181572856622</v>
      </c>
      <c r="N28" s="4">
        <f t="shared" si="11"/>
        <v>94.281567370163316</v>
      </c>
      <c r="O28" s="4">
        <f t="shared" si="11"/>
        <v>57.005648443742921</v>
      </c>
      <c r="P28" s="4">
        <f t="shared" si="11"/>
        <v>16.829810792509871</v>
      </c>
      <c r="Q28" s="4">
        <f t="shared" si="11"/>
        <v>4.1895246638649439</v>
      </c>
      <c r="R28" s="4">
        <f t="shared" si="11"/>
        <v>0.92537324974168733</v>
      </c>
      <c r="S28" s="4">
        <f t="shared" si="11"/>
        <v>0.19680788678427832</v>
      </c>
      <c r="T28" s="4">
        <f t="shared" si="11"/>
        <v>5.2851371281567541E-2</v>
      </c>
      <c r="U28" s="4">
        <f t="shared" si="11"/>
        <v>1.2634501937320793E-2</v>
      </c>
      <c r="V28" s="4">
        <f t="shared" si="11"/>
        <v>4.9348454417037484E-3</v>
      </c>
    </row>
    <row r="29" spans="1:33" x14ac:dyDescent="0.25">
      <c r="C29" s="1">
        <f t="shared" si="7"/>
        <v>1</v>
      </c>
      <c r="D29" s="4">
        <f t="shared" ref="D29:V29" si="12">(
$B10*_xlfn.NORM.DIST((LN($B10/D$21)+(D10*D10*$A10/20000))/(D10*SQRT($A10)*0.01),0,1,TRUE)    -
D$21*_xlfn.NORM.DIST((LN($B10/D$21)-(D10*D10*$A10/20000))/(D10*SQRT($A10)*0.01),0,1,TRUE)
)*EXP(-$AA12*$A10)</f>
        <v>2341.5736264512952</v>
      </c>
      <c r="E29" s="4">
        <f t="shared" si="12"/>
        <v>1850.9905994215678</v>
      </c>
      <c r="F29" s="4">
        <f t="shared" si="12"/>
        <v>1371.076780306382</v>
      </c>
      <c r="G29" s="4">
        <f t="shared" si="12"/>
        <v>1139.5756922879493</v>
      </c>
      <c r="H29" s="4">
        <f t="shared" si="12"/>
        <v>918.47453606296108</v>
      </c>
      <c r="I29" s="4">
        <f t="shared" si="12"/>
        <v>711.71923004182997</v>
      </c>
      <c r="J29" s="4">
        <f t="shared" si="12"/>
        <v>523.72007201411827</v>
      </c>
      <c r="K29" s="4">
        <f t="shared" si="12"/>
        <v>360.48296759241515</v>
      </c>
      <c r="L29" s="4">
        <f t="shared" si="12"/>
        <v>290.23772114959149</v>
      </c>
      <c r="M29" s="4">
        <f t="shared" si="12"/>
        <v>228.15714970663839</v>
      </c>
      <c r="N29" s="4">
        <f t="shared" si="12"/>
        <v>174.94637384040149</v>
      </c>
      <c r="O29" s="4">
        <f t="shared" si="12"/>
        <v>130.27218014725665</v>
      </c>
      <c r="P29" s="4">
        <f t="shared" si="12"/>
        <v>65.676625189169997</v>
      </c>
      <c r="Q29" s="4">
        <f t="shared" si="12"/>
        <v>30.163201097685626</v>
      </c>
      <c r="R29" s="4">
        <f t="shared" si="12"/>
        <v>13.183268514961393</v>
      </c>
      <c r="S29" s="4">
        <f t="shared" si="12"/>
        <v>5.4938758803207168</v>
      </c>
      <c r="T29" s="4">
        <f t="shared" si="12"/>
        <v>2.2913105488095478</v>
      </c>
      <c r="U29" s="4">
        <f t="shared" si="12"/>
        <v>0.52412854018629129</v>
      </c>
      <c r="V29" s="4">
        <f t="shared" si="12"/>
        <v>0.21183499714328746</v>
      </c>
    </row>
    <row r="30" spans="1:33" x14ac:dyDescent="0.25">
      <c r="C30" s="1">
        <f t="shared" si="7"/>
        <v>1.5041095890410958</v>
      </c>
      <c r="D30" s="4">
        <f t="shared" ref="D30:V30" si="13">(
$B11*_xlfn.NORM.DIST((LN($B11/D$21)+(D11*D11*$A11/20000))/(D11*SQRT($A11)*0.01),0,1,TRUE)    -
D$21*_xlfn.NORM.DIST((LN($B11/D$21)-(D11*D11*$A11/20000))/(D11*SQRT($A11)*0.01),0,1,TRUE)
)*EXP(-$AA13*$A11)</f>
        <v>2236.8855963928681</v>
      </c>
      <c r="E30" s="4">
        <f t="shared" si="13"/>
        <v>1757.7971949081098</v>
      </c>
      <c r="F30" s="4">
        <f t="shared" si="13"/>
        <v>1297.100599989624</v>
      </c>
      <c r="G30" s="4">
        <f t="shared" si="13"/>
        <v>1080.1419402610402</v>
      </c>
      <c r="H30" s="4">
        <f t="shared" si="13"/>
        <v>876.39573275074292</v>
      </c>
      <c r="I30" s="4">
        <f t="shared" si="13"/>
        <v>689.09388043659169</v>
      </c>
      <c r="J30" s="4">
        <f t="shared" si="13"/>
        <v>521.3669630446791</v>
      </c>
      <c r="K30" s="4">
        <f t="shared" si="13"/>
        <v>377.15128339726425</v>
      </c>
      <c r="L30" s="4">
        <f t="shared" si="13"/>
        <v>314.64508750755505</v>
      </c>
      <c r="M30" s="4">
        <f t="shared" si="13"/>
        <v>259.03733104022751</v>
      </c>
      <c r="N30" s="4">
        <f t="shared" si="13"/>
        <v>209.91527311162969</v>
      </c>
      <c r="O30" s="4">
        <f t="shared" si="13"/>
        <v>167.82944226828374</v>
      </c>
      <c r="P30" s="4">
        <f t="shared" si="13"/>
        <v>102.5843341581801</v>
      </c>
      <c r="Q30" s="4">
        <f t="shared" si="13"/>
        <v>59.741026464347058</v>
      </c>
      <c r="R30" s="4">
        <f t="shared" si="13"/>
        <v>33.949878481966117</v>
      </c>
      <c r="S30" s="4">
        <f t="shared" si="13"/>
        <v>19.181149449845972</v>
      </c>
      <c r="T30" s="4">
        <f t="shared" si="13"/>
        <v>10.999773817866675</v>
      </c>
      <c r="U30" s="4">
        <f t="shared" si="13"/>
        <v>4.0552400082869982</v>
      </c>
      <c r="V30" s="4">
        <f t="shared" si="13"/>
        <v>1.8428305312194393</v>
      </c>
    </row>
    <row r="31" spans="1:33" x14ac:dyDescent="0.25">
      <c r="C31" s="1">
        <f t="shared" si="7"/>
        <v>2</v>
      </c>
      <c r="D31" s="4">
        <f t="shared" ref="D31:V31" si="14">(
$B12*_xlfn.NORM.DIST((LN($B12/D$21)+(D12*D12*$A12/20000))/(D12*SQRT($A12)*0.01),0,1,TRUE)    -
D$21*_xlfn.NORM.DIST((LN($B12/D$21)-(D12*D12*$A12/20000))/(D12*SQRT($A12)*0.01),0,1,TRUE)
)*EXP(-$AA14*$A12)</f>
        <v>2231.5091906529206</v>
      </c>
      <c r="E31" s="4">
        <f t="shared" si="14"/>
        <v>1759.8875980731211</v>
      </c>
      <c r="F31" s="4">
        <f t="shared" si="14"/>
        <v>1312.5359481362239</v>
      </c>
      <c r="G31" s="4">
        <f t="shared" si="14"/>
        <v>1104.5204370833085</v>
      </c>
      <c r="H31" s="4">
        <f t="shared" si="14"/>
        <v>910.57517547862824</v>
      </c>
      <c r="I31" s="4">
        <f t="shared" si="14"/>
        <v>733.21104522171743</v>
      </c>
      <c r="J31" s="4">
        <f t="shared" si="14"/>
        <v>574.87596511275115</v>
      </c>
      <c r="K31" s="4">
        <f t="shared" si="14"/>
        <v>437.85328084073154</v>
      </c>
      <c r="L31" s="4">
        <f t="shared" si="14"/>
        <v>377.30012288555275</v>
      </c>
      <c r="M31" s="4">
        <f t="shared" si="14"/>
        <v>322.68187147647558</v>
      </c>
      <c r="N31" s="4">
        <f t="shared" si="14"/>
        <v>273.70578474270269</v>
      </c>
      <c r="O31" s="4">
        <f t="shared" si="14"/>
        <v>230.25585603536447</v>
      </c>
      <c r="P31" s="4">
        <f t="shared" si="14"/>
        <v>159.27518030805874</v>
      </c>
      <c r="Q31" s="4">
        <f t="shared" si="14"/>
        <v>107.74545197799966</v>
      </c>
      <c r="R31" s="4">
        <f t="shared" si="14"/>
        <v>71.672908275255651</v>
      </c>
      <c r="S31" s="4">
        <f t="shared" si="14"/>
        <v>47.373912737324133</v>
      </c>
      <c r="T31" s="4">
        <f t="shared" si="14"/>
        <v>31.316735050050433</v>
      </c>
      <c r="U31" s="4">
        <f t="shared" si="14"/>
        <v>14.265803701513301</v>
      </c>
      <c r="V31" s="4">
        <f t="shared" si="14"/>
        <v>7.3828835615423287</v>
      </c>
    </row>
    <row r="32" spans="1:33" x14ac:dyDescent="0.25">
      <c r="C32" s="1">
        <f t="shared" si="7"/>
        <v>3.0027397260273974</v>
      </c>
      <c r="D32" s="4">
        <f t="shared" ref="D32:V32" si="15">(
$B13*_xlfn.NORM.DIST((LN($B13/D$21)+(D13*D13*$A13/20000))/(D13*SQRT($A13)*0.01),0,1,TRUE)    -
D$21*_xlfn.NORM.DIST((LN($B13/D$21)-(D13*D13*$A13/20000))/(D13*SQRT($A13)*0.01),0,1,TRUE)
)*EXP(-$AA15*$A13)</f>
        <v>2137.6226619738813</v>
      </c>
      <c r="E32" s="4">
        <f t="shared" si="15"/>
        <v>1687.6282823719353</v>
      </c>
      <c r="F32" s="4">
        <f t="shared" si="15"/>
        <v>1271.2888622098121</v>
      </c>
      <c r="G32" s="4">
        <f t="shared" si="15"/>
        <v>1081.2832392495695</v>
      </c>
      <c r="H32" s="4">
        <f t="shared" si="15"/>
        <v>906.32277731081899</v>
      </c>
      <c r="I32" s="4">
        <f t="shared" si="15"/>
        <v>748.13039252752196</v>
      </c>
      <c r="J32" s="4">
        <f t="shared" si="15"/>
        <v>608.10359913153115</v>
      </c>
      <c r="K32" s="4">
        <f t="shared" si="15"/>
        <v>486.5860158385085</v>
      </c>
      <c r="L32" s="4">
        <f t="shared" si="15"/>
        <v>432.84402111730196</v>
      </c>
      <c r="M32" s="4">
        <f t="shared" si="15"/>
        <v>383.4083068023578</v>
      </c>
      <c r="N32" s="4">
        <f t="shared" si="15"/>
        <v>338.18743399723564</v>
      </c>
      <c r="O32" s="4">
        <f t="shared" si="15"/>
        <v>297.35628741795614</v>
      </c>
      <c r="P32" s="4">
        <f t="shared" si="15"/>
        <v>227.25413903025768</v>
      </c>
      <c r="Q32" s="4">
        <f t="shared" si="15"/>
        <v>171.96999464206334</v>
      </c>
      <c r="R32" s="4">
        <f t="shared" si="15"/>
        <v>129.39412174685393</v>
      </c>
      <c r="S32" s="4">
        <f t="shared" si="15"/>
        <v>96.906438214184831</v>
      </c>
      <c r="T32" s="4">
        <f t="shared" si="15"/>
        <v>72.365570510545595</v>
      </c>
      <c r="U32" s="4">
        <f t="shared" si="15"/>
        <v>40.011022703884066</v>
      </c>
      <c r="V32" s="4">
        <f t="shared" si="15"/>
        <v>22.279722523013874</v>
      </c>
    </row>
    <row r="33" spans="1:22" x14ac:dyDescent="0.25">
      <c r="C33" s="1">
        <f t="shared" si="7"/>
        <v>4.0027397260273974</v>
      </c>
      <c r="D33" s="4">
        <f t="shared" ref="D33:V33" si="16">(
$B14*_xlfn.NORM.DIST((LN($B14/D$21)+(D14*D14*$A14/20000))/(D14*SQRT($A14)*0.01),0,1,TRUE)    -
D$21*_xlfn.NORM.DIST((LN($B14/D$21)-(D14*D14*$A14/20000))/(D14*SQRT($A14)*0.01),0,1,TRUE)
)*EXP(-$AA16*$A14)</f>
        <v>2055.9062068811954</v>
      </c>
      <c r="E33" s="4">
        <f t="shared" si="16"/>
        <v>1627.4171285763568</v>
      </c>
      <c r="F33" s="4">
        <f t="shared" si="16"/>
        <v>1237.802325006912</v>
      </c>
      <c r="G33" s="4">
        <f t="shared" si="16"/>
        <v>1062.7280173261477</v>
      </c>
      <c r="H33" s="4">
        <f t="shared" si="16"/>
        <v>902.93469006675718</v>
      </c>
      <c r="I33" s="4">
        <f t="shared" si="16"/>
        <v>759.98934832320015</v>
      </c>
      <c r="J33" s="4">
        <f t="shared" si="16"/>
        <v>633.50669718659515</v>
      </c>
      <c r="K33" s="4">
        <f t="shared" si="16"/>
        <v>523.36818631039591</v>
      </c>
      <c r="L33" s="4">
        <f t="shared" si="16"/>
        <v>474.29992643586218</v>
      </c>
      <c r="M33" s="4">
        <f t="shared" si="16"/>
        <v>428.88913994040934</v>
      </c>
      <c r="N33" s="4">
        <f t="shared" si="16"/>
        <v>387.02606653756351</v>
      </c>
      <c r="O33" s="4">
        <f t="shared" si="16"/>
        <v>348.5818612925097</v>
      </c>
      <c r="P33" s="4">
        <f t="shared" si="16"/>
        <v>281.3545307370315</v>
      </c>
      <c r="Q33" s="4">
        <f t="shared" si="16"/>
        <v>226.19659433471924</v>
      </c>
      <c r="R33" s="4">
        <f t="shared" si="16"/>
        <v>181.32134772538384</v>
      </c>
      <c r="S33" s="4">
        <f t="shared" si="16"/>
        <v>145.50590207781767</v>
      </c>
      <c r="T33" s="4">
        <f t="shared" si="16"/>
        <v>116.80347812406676</v>
      </c>
      <c r="U33" s="4">
        <f t="shared" si="16"/>
        <v>75.604615902258118</v>
      </c>
      <c r="V33" s="4">
        <f t="shared" si="16"/>
        <v>49.196216579223361</v>
      </c>
    </row>
    <row r="34" spans="1:22" x14ac:dyDescent="0.25">
      <c r="C34" s="1">
        <f t="shared" si="7"/>
        <v>5.0027397260273974</v>
      </c>
      <c r="D34" s="4">
        <f t="shared" ref="D34:V34" si="17">(
$B15*_xlfn.NORM.DIST((LN($B15/D$21)+(D15*D15*$A15/20000))/(D15*SQRT($A15)*0.01),0,1,TRUE)    -
D$21*_xlfn.NORM.DIST((LN($B15/D$21)-(D15*D15*$A15/20000))/(D15*SQRT($A15)*0.01),0,1,TRUE)
)*EXP(-$AA17*$A15)</f>
        <v>1984.1060880132984</v>
      </c>
      <c r="E34" s="4">
        <f t="shared" si="17"/>
        <v>1578.65312548879</v>
      </c>
      <c r="F34" s="4">
        <f t="shared" si="17"/>
        <v>1215.044025653043</v>
      </c>
      <c r="G34" s="4">
        <f t="shared" si="17"/>
        <v>1053.2412537179191</v>
      </c>
      <c r="H34" s="4">
        <f t="shared" si="17"/>
        <v>906.04089644359863</v>
      </c>
      <c r="I34" s="4">
        <f t="shared" si="17"/>
        <v>774.40245440672049</v>
      </c>
      <c r="J34" s="4">
        <f t="shared" si="17"/>
        <v>657.29545165384673</v>
      </c>
      <c r="K34" s="4">
        <f t="shared" si="17"/>
        <v>554.63112446981677</v>
      </c>
      <c r="L34" s="4">
        <f t="shared" si="17"/>
        <v>508.87344459737875</v>
      </c>
      <c r="M34" s="4">
        <f t="shared" si="17"/>
        <v>465.95169943398594</v>
      </c>
      <c r="N34" s="4">
        <f t="shared" si="17"/>
        <v>426.14850534543001</v>
      </c>
      <c r="O34" s="4">
        <f t="shared" si="17"/>
        <v>389.34910494902209</v>
      </c>
      <c r="P34" s="4">
        <f t="shared" si="17"/>
        <v>324.24980032902647</v>
      </c>
      <c r="Q34" s="4">
        <f t="shared" si="17"/>
        <v>269.55263928052813</v>
      </c>
      <c r="R34" s="4">
        <f t="shared" si="17"/>
        <v>224.39506961308416</v>
      </c>
      <c r="S34" s="4">
        <f t="shared" si="17"/>
        <v>187.22107325470589</v>
      </c>
      <c r="T34" s="4">
        <f t="shared" si="17"/>
        <v>156.60392557928387</v>
      </c>
      <c r="U34" s="4">
        <f t="shared" si="17"/>
        <v>109.99165967687978</v>
      </c>
      <c r="V34" s="4">
        <f t="shared" si="17"/>
        <v>78.190583686235769</v>
      </c>
    </row>
    <row r="35" spans="1:22" x14ac:dyDescent="0.25">
      <c r="C35" s="1">
        <f t="shared" si="7"/>
        <v>7.0054794520547947</v>
      </c>
      <c r="D35" s="4">
        <f t="shared" ref="D35:V35" si="18">(
$B16*_xlfn.NORM.DIST((LN($B16/D$21)+(D16*D16*$A16/20000))/(D16*SQRT($A16)*0.01),0,1,TRUE)    -
D$21*_xlfn.NORM.DIST((LN($B16/D$21)-(D16*D16*$A16/20000))/(D16*SQRT($A16)*0.01),0,1,TRUE)
)*EXP(-$AA18*$A16)</f>
        <v>1865.8036581885758</v>
      </c>
      <c r="E35" s="4">
        <f t="shared" si="18"/>
        <v>1502.6474757417361</v>
      </c>
      <c r="F35" s="4">
        <f t="shared" si="18"/>
        <v>1185.5404046072333</v>
      </c>
      <c r="G35" s="4">
        <f t="shared" si="18"/>
        <v>1045.9700270827723</v>
      </c>
      <c r="H35" s="4">
        <f t="shared" si="18"/>
        <v>919.19797963259566</v>
      </c>
      <c r="I35" s="4">
        <f t="shared" si="18"/>
        <v>805.45839294303721</v>
      </c>
      <c r="J35" s="4">
        <f t="shared" si="18"/>
        <v>703.42243280966977</v>
      </c>
      <c r="K35" s="4">
        <f t="shared" si="18"/>
        <v>612.72617404332823</v>
      </c>
      <c r="L35" s="4">
        <f t="shared" si="18"/>
        <v>571.25692789106881</v>
      </c>
      <c r="M35" s="4">
        <f t="shared" si="18"/>
        <v>532.41543916724765</v>
      </c>
      <c r="N35" s="4">
        <f t="shared" si="18"/>
        <v>496.11646954935367</v>
      </c>
      <c r="O35" s="4">
        <f t="shared" si="18"/>
        <v>461.84737295593641</v>
      </c>
      <c r="P35" s="4">
        <f t="shared" si="18"/>
        <v>400.29886508215316</v>
      </c>
      <c r="Q35" s="4">
        <f t="shared" si="18"/>
        <v>346.99448840810015</v>
      </c>
      <c r="R35" s="4">
        <f t="shared" si="18"/>
        <v>300.75591229778439</v>
      </c>
      <c r="S35" s="4">
        <f t="shared" si="18"/>
        <v>261.56036772668045</v>
      </c>
      <c r="T35" s="4">
        <f t="shared" si="18"/>
        <v>227.89674398088817</v>
      </c>
      <c r="U35" s="4">
        <f t="shared" si="18"/>
        <v>173.91679015832798</v>
      </c>
      <c r="V35" s="4">
        <f t="shared" si="18"/>
        <v>134.04375778783148</v>
      </c>
    </row>
    <row r="36" spans="1:22" x14ac:dyDescent="0.25">
      <c r="C36" s="1">
        <f t="shared" si="7"/>
        <v>10.005479452054795</v>
      </c>
      <c r="D36" s="4">
        <f t="shared" ref="D36:V36" si="19">(
$B17*_xlfn.NORM.DIST((LN($B17/D$21)+(D17*D17*$A17/20000))/(D17*SQRT($A17)*0.01),0,1,TRUE)    -
D$21*_xlfn.NORM.DIST((LN($B17/D$21)-(D17*D17*$A17/20000))/(D17*SQRT($A17)*0.01),0,1,TRUE)
)*EXP(-$AA19*$A17)</f>
        <v>1739.114325560869</v>
      </c>
      <c r="E36" s="4">
        <f t="shared" si="19"/>
        <v>1433.871430225613</v>
      </c>
      <c r="F36" s="4">
        <f t="shared" si="19"/>
        <v>1171.3952913826415</v>
      </c>
      <c r="G36" s="4">
        <f t="shared" si="19"/>
        <v>1056.240348503909</v>
      </c>
      <c r="H36" s="4">
        <f t="shared" si="19"/>
        <v>951.37817417832946</v>
      </c>
      <c r="I36" s="4">
        <f t="shared" si="19"/>
        <v>855.75499230641765</v>
      </c>
      <c r="J36" s="4">
        <f t="shared" si="19"/>
        <v>769.51702628706516</v>
      </c>
      <c r="K36" s="4">
        <f t="shared" si="19"/>
        <v>691.3488647636716</v>
      </c>
      <c r="L36" s="4">
        <f t="shared" si="19"/>
        <v>655.26678354088676</v>
      </c>
      <c r="M36" s="4">
        <f t="shared" si="19"/>
        <v>620.79275004629267</v>
      </c>
      <c r="N36" s="4">
        <f t="shared" si="19"/>
        <v>588.33722495382688</v>
      </c>
      <c r="O36" s="4">
        <f t="shared" si="19"/>
        <v>557.36810098354226</v>
      </c>
      <c r="P36" s="4">
        <f t="shared" si="19"/>
        <v>500.58000223106484</v>
      </c>
      <c r="Q36" s="4">
        <f t="shared" si="19"/>
        <v>449.92772824096966</v>
      </c>
      <c r="R36" s="4">
        <f t="shared" si="19"/>
        <v>404.47053138423024</v>
      </c>
      <c r="S36" s="4">
        <f t="shared" si="19"/>
        <v>364.61712575231246</v>
      </c>
      <c r="T36" s="4">
        <f t="shared" si="19"/>
        <v>329.44181478330262</v>
      </c>
      <c r="U36" s="4">
        <f t="shared" si="19"/>
        <v>270.1874276337345</v>
      </c>
      <c r="V36" s="4">
        <f t="shared" si="19"/>
        <v>222.98637345587738</v>
      </c>
    </row>
    <row r="37" spans="1:22" x14ac:dyDescent="0.25">
      <c r="C37" s="1">
        <f t="shared" si="7"/>
        <v>12.008219178082191</v>
      </c>
      <c r="D37" s="4">
        <f t="shared" ref="D37:V37" si="20">(
$B18*_xlfn.NORM.DIST((LN($B18/D$21)+(D18*D18*$A18/20000))/(D18*SQRT($A18)*0.01),0,1,TRUE)    -
D$21*_xlfn.NORM.DIST((LN($B18/D$21)-(D18*D18*$A18/20000))/(D18*SQRT($A18)*0.01),0,1,TRUE)
)*EXP(-$AA20*$A18)</f>
        <v>1815.7276156190944</v>
      </c>
      <c r="E37" s="4">
        <f t="shared" si="20"/>
        <v>1535.8835967474938</v>
      </c>
      <c r="F37" s="4">
        <f t="shared" si="20"/>
        <v>1293.6797095728314</v>
      </c>
      <c r="G37" s="4">
        <f t="shared" si="20"/>
        <v>1186.1313983893642</v>
      </c>
      <c r="H37" s="4">
        <f t="shared" si="20"/>
        <v>1087.1728981156048</v>
      </c>
      <c r="I37" s="4">
        <f t="shared" si="20"/>
        <v>996.17768010894542</v>
      </c>
      <c r="J37" s="4">
        <f t="shared" si="20"/>
        <v>912.89739065342735</v>
      </c>
      <c r="K37" s="4">
        <f t="shared" si="20"/>
        <v>836.53860846319139</v>
      </c>
      <c r="L37" s="4">
        <f t="shared" si="20"/>
        <v>800.46900151869943</v>
      </c>
      <c r="M37" s="4">
        <f t="shared" si="20"/>
        <v>766.25026248593463</v>
      </c>
      <c r="N37" s="4">
        <f t="shared" si="20"/>
        <v>733.84101280973539</v>
      </c>
      <c r="O37" s="4">
        <f t="shared" si="20"/>
        <v>702.17882604668966</v>
      </c>
      <c r="P37" s="4">
        <f t="shared" si="20"/>
        <v>643.96628512047732</v>
      </c>
      <c r="Q37" s="4">
        <f t="shared" si="20"/>
        <v>590.74378146513163</v>
      </c>
      <c r="R37" s="4">
        <f t="shared" si="20"/>
        <v>542.1620470067553</v>
      </c>
      <c r="S37" s="4">
        <f t="shared" si="20"/>
        <v>497.88524736870454</v>
      </c>
      <c r="T37" s="4">
        <f t="shared" si="20"/>
        <v>458.07516200597809</v>
      </c>
      <c r="U37" s="4">
        <f t="shared" si="20"/>
        <v>389.13344636828316</v>
      </c>
      <c r="V37" s="4">
        <f t="shared" si="20"/>
        <v>332.99929254157382</v>
      </c>
    </row>
    <row r="39" spans="1:22" ht="15" customHeight="1" thickBot="1" x14ac:dyDescent="0.3"/>
    <row r="40" spans="1:22" ht="30" customHeight="1" x14ac:dyDescent="0.25">
      <c r="C40" s="41" t="s">
        <v>18</v>
      </c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3"/>
    </row>
    <row r="41" spans="1:22" x14ac:dyDescent="0.25">
      <c r="C41" s="44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6"/>
    </row>
    <row r="42" spans="1:22" ht="15.75" thickBot="1" x14ac:dyDescent="0.3">
      <c r="C42" s="47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9"/>
    </row>
    <row r="43" spans="1:22" ht="15.75" thickBot="1" x14ac:dyDescent="0.3"/>
    <row r="44" spans="1:22" x14ac:dyDescent="0.25">
      <c r="A44" s="33"/>
      <c r="B44" s="34"/>
      <c r="C44" s="31" t="s">
        <v>47</v>
      </c>
      <c r="D44" s="9"/>
    </row>
    <row r="45" spans="1:22" x14ac:dyDescent="0.25">
      <c r="A45" s="35"/>
      <c r="B45" s="36"/>
      <c r="C45" s="11" t="s">
        <v>49</v>
      </c>
      <c r="D45" s="32">
        <v>2.2316322354701601E-2</v>
      </c>
    </row>
    <row r="46" spans="1:22" x14ac:dyDescent="0.25">
      <c r="A46" s="35"/>
      <c r="B46" s="36"/>
      <c r="C46" s="11" t="s">
        <v>50</v>
      </c>
      <c r="D46" s="32">
        <v>4.7657209889760702E-2</v>
      </c>
    </row>
    <row r="47" spans="1:22" x14ac:dyDescent="0.25">
      <c r="A47" s="35"/>
      <c r="B47" s="36"/>
      <c r="C47" s="11" t="s">
        <v>51</v>
      </c>
      <c r="D47" s="32">
        <v>-0.58159721400223396</v>
      </c>
    </row>
    <row r="48" spans="1:22" x14ac:dyDescent="0.25">
      <c r="A48" s="35"/>
      <c r="B48" s="36"/>
      <c r="C48" s="11" t="s">
        <v>48</v>
      </c>
      <c r="D48" s="32">
        <v>1.4258629170060699</v>
      </c>
    </row>
    <row r="49" spans="1:4" ht="15.75" thickBot="1" x14ac:dyDescent="0.3">
      <c r="A49" s="37"/>
      <c r="B49" s="38"/>
      <c r="C49" s="13" t="s">
        <v>52</v>
      </c>
      <c r="D49" s="39">
        <v>0.51294790147131197</v>
      </c>
    </row>
  </sheetData>
  <mergeCells count="1">
    <mergeCell ref="C40:V42"/>
  </mergeCells>
  <conditionalFormatting sqref="W3:W18">
    <cfRule type="cellIs" dxfId="0" priority="1" operator="equal">
      <formula>TRUE</formula>
    </cfRule>
  </conditionalFormatting>
  <dataValidations count="1">
    <dataValidation type="list" allowBlank="1" showInputMessage="1" showErrorMessage="1" sqref="W3:W18">
      <formula1>Calib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GetOptions">
                <anchor moveWithCells="1" sizeWithCells="1">
                  <from>
                    <xdr:col>17</xdr:col>
                    <xdr:colOff>419100</xdr:colOff>
                    <xdr:row>39</xdr:row>
                    <xdr:rowOff>66675</xdr:rowOff>
                  </from>
                  <to>
                    <xdr:col>21</xdr:col>
                    <xdr:colOff>523875</xdr:colOff>
                    <xdr:row>41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Vols</vt:lpstr>
      <vt:lpstr>Calib</vt:lpstr>
      <vt:lpstr>CalibChoice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RIVET</dc:creator>
  <cp:lastModifiedBy>Matthieu</cp:lastModifiedBy>
  <dcterms:created xsi:type="dcterms:W3CDTF">2017-01-25T15:20:55Z</dcterms:created>
  <dcterms:modified xsi:type="dcterms:W3CDTF">2017-08-06T16:03:14Z</dcterms:modified>
</cp:coreProperties>
</file>